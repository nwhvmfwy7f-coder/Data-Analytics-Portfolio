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hidePivotFieldList="1" defaultThemeVersion="166925"/>
  <mc:AlternateContent xmlns:mc="http://schemas.openxmlformats.org/markup-compatibility/2006">
    <mc:Choice Requires="x15">
      <x15ac:absPath xmlns:x15ac="http://schemas.microsoft.com/office/spreadsheetml/2010/11/ac" url="/Users/nasircarter/Desktop/"/>
    </mc:Choice>
  </mc:AlternateContent>
  <xr:revisionPtr revIDLastSave="0" documentId="8_{5C15EC33-1B9C-5649-B6A4-D4F343425D09}" xr6:coauthVersionLast="47" xr6:coauthVersionMax="47" xr10:uidLastSave="{00000000-0000-0000-0000-000000000000}"/>
  <bookViews>
    <workbookView xWindow="0" yWindow="660" windowWidth="17300" windowHeight="18460" xr2:uid="{330B31A1-CD98-5A4B-B201-4408AE46B0A1}"/>
  </bookViews>
  <sheets>
    <sheet name="Score Sheet" sheetId="1" r:id="rId1"/>
    <sheet name="Summary" sheetId="3" r:id="rId2"/>
  </sheets>
  <calcPr calcId="191029"/>
  <pivotCaches>
    <pivotCache cacheId="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C3" i="3"/>
  <c r="D3" i="3"/>
  <c r="H3" i="3"/>
  <c r="H2" i="3"/>
  <c r="D2" i="3"/>
  <c r="C2" i="3"/>
  <c r="B2" i="3"/>
  <c r="H21" i="3"/>
  <c r="H20" i="3"/>
  <c r="H19" i="3"/>
  <c r="B19" i="3"/>
  <c r="B20" i="3"/>
  <c r="B21" i="3"/>
  <c r="B22" i="3"/>
  <c r="B23" i="3"/>
  <c r="H4" i="1"/>
  <c r="H5" i="1"/>
  <c r="H6" i="1"/>
  <c r="H7" i="1"/>
  <c r="H8" i="1"/>
  <c r="H9" i="1"/>
  <c r="H10" i="1"/>
  <c r="J10" i="1" s="1"/>
  <c r="H11" i="1"/>
  <c r="J11" i="1" s="1"/>
  <c r="H12" i="1"/>
  <c r="H13" i="1"/>
  <c r="H14" i="1"/>
  <c r="H15" i="1"/>
  <c r="H16" i="1"/>
  <c r="H17" i="1"/>
  <c r="H18" i="1"/>
  <c r="J18" i="1" s="1"/>
  <c r="H19" i="1"/>
  <c r="J19" i="1" s="1"/>
  <c r="H20" i="1"/>
  <c r="H21" i="1"/>
  <c r="H22" i="1"/>
  <c r="H23" i="1"/>
  <c r="H24" i="1"/>
  <c r="H25" i="1"/>
  <c r="H26" i="1"/>
  <c r="J26" i="1" s="1"/>
  <c r="H27" i="1"/>
  <c r="J27" i="1" s="1"/>
  <c r="H28" i="1"/>
  <c r="H29" i="1"/>
  <c r="H30" i="1"/>
  <c r="H31" i="1"/>
  <c r="H32" i="1"/>
  <c r="H33" i="1"/>
  <c r="H34" i="1"/>
  <c r="J34" i="1" s="1"/>
  <c r="H35" i="1"/>
  <c r="J35" i="1" s="1"/>
  <c r="H36" i="1"/>
  <c r="H37" i="1"/>
  <c r="H38" i="1"/>
  <c r="H39" i="1"/>
  <c r="H40" i="1"/>
  <c r="H41" i="1"/>
  <c r="H42" i="1"/>
  <c r="J42" i="1" s="1"/>
  <c r="H43" i="1"/>
  <c r="J43" i="1" s="1"/>
  <c r="H44" i="1"/>
  <c r="H45" i="1"/>
  <c r="H46" i="1"/>
  <c r="H47" i="1"/>
  <c r="H48" i="1"/>
  <c r="H49" i="1"/>
  <c r="H50" i="1"/>
  <c r="J50" i="1" s="1"/>
  <c r="H51" i="1"/>
  <c r="J51" i="1" s="1"/>
  <c r="H52"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J4" i="1"/>
  <c r="J5" i="1"/>
  <c r="J6" i="1"/>
  <c r="J7" i="1"/>
  <c r="J8" i="1"/>
  <c r="J9" i="1"/>
  <c r="J12" i="1"/>
  <c r="J13" i="1"/>
  <c r="J14" i="1"/>
  <c r="J15" i="1"/>
  <c r="J16" i="1"/>
  <c r="J17" i="1"/>
  <c r="J20" i="1"/>
  <c r="J21" i="1"/>
  <c r="J22" i="1"/>
  <c r="J23" i="1"/>
  <c r="J24" i="1"/>
  <c r="J25" i="1"/>
  <c r="J28" i="1"/>
  <c r="J29" i="1"/>
  <c r="J30" i="1"/>
  <c r="J31" i="1"/>
  <c r="J32" i="1"/>
  <c r="J33" i="1"/>
  <c r="J36" i="1"/>
  <c r="J37" i="1"/>
  <c r="J38" i="1"/>
  <c r="J39" i="1"/>
  <c r="J40" i="1"/>
  <c r="J41" i="1"/>
  <c r="J44" i="1"/>
  <c r="J45" i="1"/>
  <c r="J46" i="1"/>
  <c r="J47" i="1"/>
  <c r="J48" i="1"/>
  <c r="J49" i="1"/>
  <c r="J52" i="1"/>
  <c r="J3" i="1"/>
  <c r="I3" i="1"/>
  <c r="A58" i="1"/>
  <c r="A56" i="1"/>
  <c r="A54" i="1"/>
  <c r="H3" i="1"/>
</calcChain>
</file>

<file path=xl/sharedStrings.xml><?xml version="1.0" encoding="utf-8"?>
<sst xmlns="http://schemas.openxmlformats.org/spreadsheetml/2006/main" count="199" uniqueCount="99">
  <si>
    <t>Student Name</t>
  </si>
  <si>
    <t>Grade</t>
  </si>
  <si>
    <t>Student 1</t>
  </si>
  <si>
    <t>Student 2</t>
  </si>
  <si>
    <t>Student 3</t>
  </si>
  <si>
    <t>Student 4</t>
  </si>
  <si>
    <t>Student 5</t>
  </si>
  <si>
    <t>Student 6</t>
  </si>
  <si>
    <t>Student 7</t>
  </si>
  <si>
    <t>Student 8</t>
  </si>
  <si>
    <t>Student 9</t>
  </si>
  <si>
    <t>Student 10</t>
  </si>
  <si>
    <t>IEP</t>
  </si>
  <si>
    <t>Text to Speech</t>
  </si>
  <si>
    <t>N/A</t>
  </si>
  <si>
    <t>Benchmark Status</t>
  </si>
  <si>
    <t>Growth Category</t>
  </si>
  <si>
    <t>School Name</t>
  </si>
  <si>
    <t>Student 11</t>
  </si>
  <si>
    <t>Student 12</t>
  </si>
  <si>
    <t>Student 13</t>
  </si>
  <si>
    <t>Student 14</t>
  </si>
  <si>
    <t>Student 15</t>
  </si>
  <si>
    <t>Student 16</t>
  </si>
  <si>
    <t>Student 17</t>
  </si>
  <si>
    <t>Student 18</t>
  </si>
  <si>
    <t>Student 19</t>
  </si>
  <si>
    <t>Student 20</t>
  </si>
  <si>
    <t>Student 21</t>
  </si>
  <si>
    <t>Student 22</t>
  </si>
  <si>
    <t>Student 23</t>
  </si>
  <si>
    <t>Student 24</t>
  </si>
  <si>
    <t>Student 25</t>
  </si>
  <si>
    <t>Student 26</t>
  </si>
  <si>
    <t>Student 27</t>
  </si>
  <si>
    <t>Student 28</t>
  </si>
  <si>
    <t>Student 29</t>
  </si>
  <si>
    <t>Student 30</t>
  </si>
  <si>
    <t>Student 31</t>
  </si>
  <si>
    <t>Student 32</t>
  </si>
  <si>
    <t>Student 33</t>
  </si>
  <si>
    <t>Student 34</t>
  </si>
  <si>
    <t>Student 35</t>
  </si>
  <si>
    <t>Student 36</t>
  </si>
  <si>
    <t>Student 37</t>
  </si>
  <si>
    <t>Student 38</t>
  </si>
  <si>
    <t>Student 39</t>
  </si>
  <si>
    <t>Student 40</t>
  </si>
  <si>
    <t>Student 41</t>
  </si>
  <si>
    <t>Student 42</t>
  </si>
  <si>
    <t>Student 43</t>
  </si>
  <si>
    <t>Student 44</t>
  </si>
  <si>
    <t>Student 45</t>
  </si>
  <si>
    <t>Student 46</t>
  </si>
  <si>
    <t>Student 47</t>
  </si>
  <si>
    <t>Student 48</t>
  </si>
  <si>
    <t>Student 49</t>
  </si>
  <si>
    <t>Student 50</t>
  </si>
  <si>
    <t>Column1</t>
  </si>
  <si>
    <t>Column2</t>
  </si>
  <si>
    <t>Column3</t>
  </si>
  <si>
    <t>Column4</t>
  </si>
  <si>
    <t>Column6</t>
  </si>
  <si>
    <t>Column8</t>
  </si>
  <si>
    <t>Column9</t>
  </si>
  <si>
    <t>Column11</t>
  </si>
  <si>
    <t>Column12</t>
  </si>
  <si>
    <t>Column13</t>
  </si>
  <si>
    <t>Analysis:</t>
  </si>
  <si>
    <t>Total Students:</t>
  </si>
  <si>
    <t>Average September Score:</t>
  </si>
  <si>
    <t>Average August Score:</t>
  </si>
  <si>
    <t>School A</t>
  </si>
  <si>
    <t>SCHOOL B</t>
  </si>
  <si>
    <t>SCHOOL A</t>
  </si>
  <si>
    <t>School:</t>
  </si>
  <si>
    <t>Avg. September</t>
  </si>
  <si>
    <t>Avg. August</t>
  </si>
  <si>
    <t>Avg. Growth</t>
  </si>
  <si>
    <t>School B</t>
  </si>
  <si>
    <t>Students</t>
  </si>
  <si>
    <t>Students:</t>
  </si>
  <si>
    <t xml:space="preserve">Student Attendance </t>
  </si>
  <si>
    <t>Student Attendance September</t>
  </si>
  <si>
    <t>Score Change (Percentage Points)</t>
  </si>
  <si>
    <t>HIGH GROWTH</t>
  </si>
  <si>
    <t>MODERATE GROWTH</t>
  </si>
  <si>
    <t>LOW GROWTH</t>
  </si>
  <si>
    <t>DECLINE</t>
  </si>
  <si>
    <t>TOTAL</t>
  </si>
  <si>
    <t>MET</t>
  </si>
  <si>
    <t>BELOW</t>
  </si>
  <si>
    <t>August Score (%)</t>
  </si>
  <si>
    <t>September Score (%)</t>
  </si>
  <si>
    <t>September Attendance (%)</t>
  </si>
  <si>
    <t>Support Type</t>
  </si>
  <si>
    <t>Average student performance decreased from 64.42 in August to 59.90 in September, a decline of 4.52 percentage points. School B declined by 5.20 points, compared with a 3.84-point decline at School A. The data does not show a strong relationship between attendance and score change, so additional variables should be examined before determining the cause of the decline.</t>
  </si>
  <si>
    <r>
      <rPr>
        <b/>
        <i/>
        <sz val="22"/>
        <color theme="1"/>
        <rFont val="Calibri"/>
        <family val="2"/>
        <scheme val="minor"/>
      </rPr>
      <t>Recommendations</t>
    </r>
    <r>
      <rPr>
        <sz val="22"/>
        <color theme="1"/>
        <rFont val="Calibri"/>
        <family val="2"/>
        <scheme val="minor"/>
      </rPr>
      <t xml:space="preserve">: Review results by school, support type, and individual student. Examine instructional differences and assessment difficulty before concluding that attendance caused the performance decline. Further investigation should prioritize student attendace and instruction that directly uses questions from the exit tickets during the week to help amplify and boost student scores </t>
    </r>
  </si>
  <si>
    <t>Data Privacy Statemet: This portfolio uses synthetic student data created for demonstration purposes. It does not contain information from actual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</si>
</sst>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2"/>
      <color theme="1"/>
      <name val="Calibri"/>
      <family val="2"/>
      <scheme val="minor"/>
    </font>
    <font>
      <b/>
      <u/>
      <sz val="16"/>
      <color theme="1"/>
      <name val="Calibri"/>
      <family val="2"/>
      <scheme val="minor"/>
    </font>
    <font>
      <b/>
      <u/>
      <sz val="16"/>
      <color theme="1"/>
      <name val="Calibri (Body)"/>
    </font>
    <font>
      <b/>
      <u/>
      <sz val="16"/>
      <color theme="1"/>
      <name val="Calibri Light (Headings)"/>
    </font>
    <font>
      <b/>
      <i/>
      <sz val="16"/>
      <color theme="1"/>
      <name val="Calibri Light (Headings)"/>
    </font>
    <font>
      <sz val="12"/>
      <color rgb="FF000000"/>
      <name val="Calibri"/>
      <family val="2"/>
      <scheme val="minor"/>
    </font>
    <font>
      <sz val="8"/>
      <name val="Calibri"/>
      <family val="2"/>
      <scheme val="minor"/>
    </font>
    <font>
      <b/>
      <i/>
      <sz val="22"/>
      <color theme="1"/>
      <name val="Calibri"/>
      <family val="2"/>
      <scheme val="minor"/>
    </font>
    <font>
      <sz val="22"/>
      <color theme="1"/>
      <name val="Calibri"/>
      <family val="2"/>
      <scheme val="minor"/>
    </font>
    <font>
      <b/>
      <i/>
      <u/>
      <sz val="26"/>
      <color theme="1"/>
      <name val="Calibri Light"/>
      <family val="2"/>
      <scheme val="major"/>
    </font>
    <font>
      <b/>
      <i/>
      <u/>
      <sz val="18"/>
      <color theme="1"/>
      <name val="Calibri Light"/>
      <family val="2"/>
      <scheme val="major"/>
    </font>
    <font>
      <sz val="18"/>
      <color theme="1"/>
      <name val="Calibri Light"/>
      <family val="2"/>
      <scheme val="maj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3" fontId="12" fillId="0" borderId="0" applyFont="0" applyFill="0" applyBorder="0" applyAlignment="0" applyProtection="0"/>
  </cellStyleXfs>
  <cellXfs count="25">
    <xf numFmtId="0" fontId="0" fillId="0" borderId="0" xfId="0"/>
    <xf numFmtId="9" fontId="0" fillId="0" borderId="0" xfId="0" applyNumberFormat="1"/>
    <xf numFmtId="0" fontId="5" fillId="0" borderId="0" xfId="0" applyFont="1"/>
    <xf numFmtId="0" fontId="1" fillId="2" borderId="0" xfId="0" applyFont="1" applyFill="1"/>
    <xf numFmtId="0" fontId="0" fillId="2" borderId="0" xfId="0" applyFill="1"/>
    <xf numFmtId="0" fontId="2" fillId="2" borderId="0" xfId="0" applyFont="1" applyFill="1"/>
    <xf numFmtId="0" fontId="3" fillId="2" borderId="0" xfId="0" applyFont="1"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9" fontId="0" fillId="2" borderId="0" xfId="0" applyNumberFormat="1" applyFill="1"/>
    <xf numFmtId="0" fontId="0" fillId="2" borderId="7" xfId="0" applyFill="1" applyBorder="1"/>
    <xf numFmtId="0" fontId="0" fillId="2" borderId="8" xfId="0" applyFill="1" applyBorder="1"/>
    <xf numFmtId="0" fontId="0" fillId="2" borderId="9" xfId="0" applyFill="1" applyBorder="1"/>
    <xf numFmtId="0" fontId="8" fillId="2" borderId="0" xfId="0" applyFont="1" applyFill="1"/>
    <xf numFmtId="0" fontId="9" fillId="2" borderId="0" xfId="0" applyFont="1" applyFill="1"/>
    <xf numFmtId="0" fontId="4" fillId="2" borderId="0" xfId="0" applyFont="1" applyFill="1"/>
    <xf numFmtId="0" fontId="10" fillId="0" borderId="0" xfId="0" applyFont="1"/>
    <xf numFmtId="0" fontId="11" fillId="0" borderId="0" xfId="0" applyFont="1"/>
    <xf numFmtId="0" fontId="0" fillId="0" borderId="0" xfId="0" applyNumberFormat="1"/>
    <xf numFmtId="0" fontId="7" fillId="2" borderId="0" xfId="0" applyFont="1" applyFill="1"/>
    <xf numFmtId="43" fontId="0" fillId="2" borderId="0" xfId="1" applyFont="1" applyFill="1"/>
  </cellXfs>
  <cellStyles count="2">
    <cellStyle name="Comma" xfId="1" builtinId="3"/>
    <cellStyle name="Normal" xfId="0" builtinId="0"/>
  </cellStyles>
  <dxfs count="23">
    <dxf>
      <numFmt numFmtId="13" formatCode="0%"/>
    </dxf>
    <dxf>
      <font>
        <b val="0"/>
        <i val="0"/>
        <strike val="0"/>
        <condense val="0"/>
        <extend val="0"/>
        <outline val="0"/>
        <shadow val="0"/>
        <u val="none"/>
        <vertAlign val="baseline"/>
        <sz val="12"/>
        <color rgb="FF000000"/>
        <name val="Calibri"/>
        <family val="2"/>
        <scheme val="minor"/>
      </font>
      <numFmt numFmtId="0" formatCode="General"/>
    </dxf>
    <dxf>
      <font>
        <b val="0"/>
        <i val="0"/>
        <strike val="0"/>
        <condense val="0"/>
        <extend val="0"/>
        <outline val="0"/>
        <shadow val="0"/>
        <u val="none"/>
        <vertAlign val="baseline"/>
        <sz val="12"/>
        <color rgb="FF000000"/>
        <name val="Calibri"/>
        <family val="2"/>
        <scheme val="minor"/>
      </font>
      <numFmt numFmtId="0" formatCode="General"/>
    </dxf>
    <dxf>
      <font>
        <b val="0"/>
        <i val="0"/>
        <strike val="0"/>
        <condense val="0"/>
        <extend val="0"/>
        <outline val="0"/>
        <shadow val="0"/>
        <u val="none"/>
        <vertAlign val="baseline"/>
        <sz val="12"/>
        <color rgb="FF000000"/>
        <name val="Calibri"/>
        <family val="2"/>
        <scheme val="minor"/>
      </font>
      <numFmt numFmtId="0" formatCode="General"/>
    </dxf>
    <dxf>
      <numFmt numFmtId="0" formatCode="General"/>
    </dxf>
    <dxf>
      <font>
        <strike val="0"/>
        <outline val="0"/>
        <shadow val="0"/>
        <u val="none"/>
        <vertAlign val="baseline"/>
        <sz val="20"/>
        <color theme="1"/>
        <name val="Calibri Light"/>
        <family val="2"/>
        <scheme val="major"/>
      </font>
    </dxf>
    <dxf>
      <font>
        <b/>
        <i/>
        <strike val="0"/>
        <condense val="0"/>
        <extend val="0"/>
        <outline val="0"/>
        <shadow val="0"/>
        <u/>
        <vertAlign val="baseline"/>
        <sz val="16"/>
        <color theme="1"/>
        <name val="Calibri Light (Headings)"/>
        <scheme val="none"/>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i/>
        <strike val="0"/>
        <condense val="0"/>
        <extend val="0"/>
        <outline val="0"/>
        <shadow val="0"/>
        <u/>
        <vertAlign val="baseline"/>
        <sz val="16"/>
        <color theme="1"/>
        <name val="Calibri Light (Headings)"/>
        <scheme val="none"/>
      </font>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3" formatCode="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'Score Sheet'!$C$1</c:f>
              <c:strCache>
                <c:ptCount val="1"/>
                <c:pt idx="0">
                  <c:v>Column3</c:v>
                </c:pt>
              </c:strCache>
            </c:strRef>
          </c:tx>
          <c:spPr>
            <a:solidFill>
              <a:schemeClr val="accent1"/>
            </a:solidFill>
            <a:ln>
              <a:noFill/>
            </a:ln>
            <a:effectLst/>
          </c:spPr>
          <c:cat>
            <c:strRef>
              <c:extLst>
                <c:ext xmlns:c15="http://schemas.microsoft.com/office/drawing/2012/chart" uri="{02D57815-91ED-43cb-92C2-25804820EDAC}">
                  <c15:fullRef>
                    <c15:sqref>'Score Sheet'!$A$2:$B$58</c15:sqref>
                  </c15:fullRef>
                  <c15:levelRef>
                    <c15:sqref>'Score Sheet'!$A$2:$A$58</c15:sqref>
                  </c15:levelRef>
                </c:ext>
              </c:extLst>
              <c:f>'Score Sheet'!$A$2:$A$58</c:f>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f>'Score Sheet'!$C$2:$C$58</c:f>
              <c:numCache>
                <c:formatCode>General</c:formatCode>
                <c:ptCount val="57"/>
                <c:pt idx="0">
                  <c:v>0</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pt idx="23">
                  <c:v>4</c:v>
                </c:pt>
                <c:pt idx="24">
                  <c:v>4</c:v>
                </c:pt>
                <c:pt idx="25">
                  <c:v>4</c:v>
                </c:pt>
                <c:pt idx="26">
                  <c:v>4</c:v>
                </c:pt>
                <c:pt idx="27">
                  <c:v>4</c:v>
                </c:pt>
                <c:pt idx="28">
                  <c:v>4</c:v>
                </c:pt>
                <c:pt idx="29">
                  <c:v>4</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numCache>
            </c:numRef>
          </c:val>
          <c:extLst>
            <c:ext xmlns:c16="http://schemas.microsoft.com/office/drawing/2014/chart" uri="{C3380CC4-5D6E-409C-BE32-E72D297353CC}">
              <c16:uniqueId val="{00000000-5D5D-3E4B-ADF2-3D66E472C595}"/>
            </c:ext>
          </c:extLst>
        </c:ser>
        <c:ser>
          <c:idx val="1"/>
          <c:order val="1"/>
          <c:tx>
            <c:strRef>
              <c:f>'Score Sheet'!$D$1</c:f>
              <c:strCache>
                <c:ptCount val="1"/>
                <c:pt idx="0">
                  <c:v>Column4</c:v>
                </c:pt>
              </c:strCache>
            </c:strRef>
          </c:tx>
          <c:spPr>
            <a:solidFill>
              <a:schemeClr val="accent2"/>
            </a:solidFill>
            <a:ln w="25400">
              <a:noFill/>
            </a:ln>
            <a:effectLst/>
          </c:spPr>
          <c:cat>
            <c:strRef>
              <c:extLst>
                <c:ext xmlns:c15="http://schemas.microsoft.com/office/drawing/2012/chart" uri="{02D57815-91ED-43cb-92C2-25804820EDAC}">
                  <c15:fullRef>
                    <c15:sqref>'Score Sheet'!$A$2:$B$58</c15:sqref>
                  </c15:fullRef>
                  <c15:levelRef>
                    <c15:sqref>'Score Sheet'!$A$2:$A$58</c15:sqref>
                  </c15:levelRef>
                </c:ext>
              </c:extLst>
              <c:f>'Score Sheet'!$A$2:$A$58</c:f>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f>'Score Sheet'!$D$2:$D$58</c:f>
              <c:numCache>
                <c:formatCode>General</c:formatCode>
                <c:ptCount val="57"/>
                <c:pt idx="0">
                  <c:v>0</c:v>
                </c:pt>
                <c:pt idx="1">
                  <c:v>90</c:v>
                </c:pt>
                <c:pt idx="2">
                  <c:v>70</c:v>
                </c:pt>
                <c:pt idx="3">
                  <c:v>60</c:v>
                </c:pt>
                <c:pt idx="4">
                  <c:v>60</c:v>
                </c:pt>
                <c:pt idx="5">
                  <c:v>80</c:v>
                </c:pt>
                <c:pt idx="6">
                  <c:v>50</c:v>
                </c:pt>
                <c:pt idx="7">
                  <c:v>70</c:v>
                </c:pt>
                <c:pt idx="8">
                  <c:v>80</c:v>
                </c:pt>
                <c:pt idx="9">
                  <c:v>90</c:v>
                </c:pt>
                <c:pt idx="10">
                  <c:v>100</c:v>
                </c:pt>
                <c:pt idx="11">
                  <c:v>70</c:v>
                </c:pt>
                <c:pt idx="12">
                  <c:v>60</c:v>
                </c:pt>
                <c:pt idx="13">
                  <c:v>30</c:v>
                </c:pt>
                <c:pt idx="14">
                  <c:v>20</c:v>
                </c:pt>
                <c:pt idx="15">
                  <c:v>100</c:v>
                </c:pt>
                <c:pt idx="16">
                  <c:v>60</c:v>
                </c:pt>
                <c:pt idx="17">
                  <c:v>45</c:v>
                </c:pt>
                <c:pt idx="18">
                  <c:v>67</c:v>
                </c:pt>
                <c:pt idx="19">
                  <c:v>80</c:v>
                </c:pt>
                <c:pt idx="20">
                  <c:v>95</c:v>
                </c:pt>
                <c:pt idx="21">
                  <c:v>45</c:v>
                </c:pt>
                <c:pt idx="22">
                  <c:v>55</c:v>
                </c:pt>
                <c:pt idx="23">
                  <c:v>67</c:v>
                </c:pt>
                <c:pt idx="24">
                  <c:v>82</c:v>
                </c:pt>
                <c:pt idx="25">
                  <c:v>30</c:v>
                </c:pt>
                <c:pt idx="26">
                  <c:v>20</c:v>
                </c:pt>
                <c:pt idx="27">
                  <c:v>0</c:v>
                </c:pt>
                <c:pt idx="28">
                  <c:v>10</c:v>
                </c:pt>
                <c:pt idx="29">
                  <c:v>20</c:v>
                </c:pt>
                <c:pt idx="30">
                  <c:v>25</c:v>
                </c:pt>
                <c:pt idx="31">
                  <c:v>25</c:v>
                </c:pt>
                <c:pt idx="32">
                  <c:v>25</c:v>
                </c:pt>
                <c:pt idx="33">
                  <c:v>25</c:v>
                </c:pt>
                <c:pt idx="34">
                  <c:v>25</c:v>
                </c:pt>
                <c:pt idx="35">
                  <c:v>66</c:v>
                </c:pt>
                <c:pt idx="36">
                  <c:v>25</c:v>
                </c:pt>
                <c:pt idx="37">
                  <c:v>66</c:v>
                </c:pt>
                <c:pt idx="38">
                  <c:v>78</c:v>
                </c:pt>
                <c:pt idx="39">
                  <c:v>95</c:v>
                </c:pt>
                <c:pt idx="40">
                  <c:v>100</c:v>
                </c:pt>
                <c:pt idx="41">
                  <c:v>80</c:v>
                </c:pt>
                <c:pt idx="42">
                  <c:v>75</c:v>
                </c:pt>
                <c:pt idx="43">
                  <c:v>75</c:v>
                </c:pt>
                <c:pt idx="44">
                  <c:v>80</c:v>
                </c:pt>
                <c:pt idx="45">
                  <c:v>90</c:v>
                </c:pt>
                <c:pt idx="46">
                  <c:v>54</c:v>
                </c:pt>
                <c:pt idx="47">
                  <c:v>45</c:v>
                </c:pt>
                <c:pt idx="48">
                  <c:v>60</c:v>
                </c:pt>
                <c:pt idx="49">
                  <c:v>100</c:v>
                </c:pt>
                <c:pt idx="50">
                  <c:v>75</c:v>
                </c:pt>
              </c:numCache>
            </c:numRef>
          </c:val>
          <c:extLst>
            <c:ext xmlns:c16="http://schemas.microsoft.com/office/drawing/2014/chart" uri="{C3380CC4-5D6E-409C-BE32-E72D297353CC}">
              <c16:uniqueId val="{00000001-5D5D-3E4B-ADF2-3D66E472C595}"/>
            </c:ext>
          </c:extLst>
        </c:ser>
        <c:ser>
          <c:idx val="2"/>
          <c:order val="2"/>
          <c:tx>
            <c:strRef>
              <c:f>'Score Sheet'!$E$1</c:f>
              <c:strCache>
                <c:ptCount val="1"/>
                <c:pt idx="0">
                  <c:v>Column6</c:v>
                </c:pt>
              </c:strCache>
            </c:strRef>
          </c:tx>
          <c:spPr>
            <a:solidFill>
              <a:schemeClr val="accent3"/>
            </a:solidFill>
            <a:ln w="25400">
              <a:noFill/>
            </a:ln>
            <a:effectLst/>
          </c:spPr>
          <c:cat>
            <c:strRef>
              <c:extLst>
                <c:ext xmlns:c15="http://schemas.microsoft.com/office/drawing/2012/chart" uri="{02D57815-91ED-43cb-92C2-25804820EDAC}">
                  <c15:fullRef>
                    <c15:sqref>'Score Sheet'!$A$2:$B$58</c15:sqref>
                  </c15:fullRef>
                  <c15:levelRef>
                    <c15:sqref>'Score Sheet'!$A$2:$A$58</c15:sqref>
                  </c15:levelRef>
                </c:ext>
              </c:extLst>
              <c:f>'Score Sheet'!$A$2:$A$58</c:f>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f>'Score Sheet'!$E$2:$E$58</c:f>
              <c:numCache>
                <c:formatCode>General</c:formatCode>
                <c:ptCount val="57"/>
                <c:pt idx="0">
                  <c:v>0</c:v>
                </c:pt>
                <c:pt idx="1">
                  <c:v>50</c:v>
                </c:pt>
                <c:pt idx="2">
                  <c:v>70</c:v>
                </c:pt>
                <c:pt idx="3">
                  <c:v>60</c:v>
                </c:pt>
                <c:pt idx="4">
                  <c:v>90</c:v>
                </c:pt>
                <c:pt idx="5">
                  <c:v>24</c:v>
                </c:pt>
                <c:pt idx="6">
                  <c:v>32</c:v>
                </c:pt>
                <c:pt idx="7">
                  <c:v>78</c:v>
                </c:pt>
                <c:pt idx="8">
                  <c:v>95</c:v>
                </c:pt>
                <c:pt idx="9">
                  <c:v>100</c:v>
                </c:pt>
                <c:pt idx="10">
                  <c:v>65</c:v>
                </c:pt>
                <c:pt idx="11">
                  <c:v>100</c:v>
                </c:pt>
                <c:pt idx="12">
                  <c:v>67</c:v>
                </c:pt>
                <c:pt idx="13">
                  <c:v>78</c:v>
                </c:pt>
                <c:pt idx="14">
                  <c:v>87</c:v>
                </c:pt>
                <c:pt idx="15">
                  <c:v>97</c:v>
                </c:pt>
                <c:pt idx="16">
                  <c:v>85</c:v>
                </c:pt>
                <c:pt idx="17">
                  <c:v>66</c:v>
                </c:pt>
                <c:pt idx="18">
                  <c:v>45</c:v>
                </c:pt>
                <c:pt idx="19">
                  <c:v>54</c:v>
                </c:pt>
                <c:pt idx="20">
                  <c:v>48</c:v>
                </c:pt>
                <c:pt idx="21">
                  <c:v>95</c:v>
                </c:pt>
                <c:pt idx="22">
                  <c:v>92</c:v>
                </c:pt>
                <c:pt idx="23">
                  <c:v>82</c:v>
                </c:pt>
                <c:pt idx="24">
                  <c:v>88</c:v>
                </c:pt>
                <c:pt idx="25">
                  <c:v>90</c:v>
                </c:pt>
                <c:pt idx="26">
                  <c:v>10</c:v>
                </c:pt>
                <c:pt idx="27">
                  <c:v>55</c:v>
                </c:pt>
                <c:pt idx="28">
                  <c:v>67</c:v>
                </c:pt>
                <c:pt idx="29">
                  <c:v>78</c:v>
                </c:pt>
                <c:pt idx="30">
                  <c:v>70</c:v>
                </c:pt>
                <c:pt idx="31">
                  <c:v>60</c:v>
                </c:pt>
                <c:pt idx="32">
                  <c:v>20</c:v>
                </c:pt>
                <c:pt idx="33">
                  <c:v>10</c:v>
                </c:pt>
                <c:pt idx="34">
                  <c:v>50</c:v>
                </c:pt>
                <c:pt idx="35">
                  <c:v>45</c:v>
                </c:pt>
                <c:pt idx="36">
                  <c:v>60</c:v>
                </c:pt>
                <c:pt idx="37">
                  <c:v>68</c:v>
                </c:pt>
                <c:pt idx="38">
                  <c:v>94</c:v>
                </c:pt>
                <c:pt idx="39">
                  <c:v>92</c:v>
                </c:pt>
                <c:pt idx="40">
                  <c:v>91</c:v>
                </c:pt>
                <c:pt idx="41">
                  <c:v>51</c:v>
                </c:pt>
                <c:pt idx="42">
                  <c:v>35</c:v>
                </c:pt>
                <c:pt idx="43">
                  <c:v>25</c:v>
                </c:pt>
                <c:pt idx="44">
                  <c:v>47</c:v>
                </c:pt>
                <c:pt idx="45">
                  <c:v>48</c:v>
                </c:pt>
                <c:pt idx="46">
                  <c:v>66</c:v>
                </c:pt>
                <c:pt idx="47">
                  <c:v>78</c:v>
                </c:pt>
                <c:pt idx="48">
                  <c:v>30</c:v>
                </c:pt>
                <c:pt idx="49">
                  <c:v>56</c:v>
                </c:pt>
                <c:pt idx="50">
                  <c:v>77</c:v>
                </c:pt>
              </c:numCache>
            </c:numRef>
          </c:val>
          <c:extLst>
            <c:ext xmlns:c16="http://schemas.microsoft.com/office/drawing/2014/chart" uri="{C3380CC4-5D6E-409C-BE32-E72D297353CC}">
              <c16:uniqueId val="{00000002-5D5D-3E4B-ADF2-3D66E472C595}"/>
            </c:ext>
          </c:extLst>
        </c:ser>
        <c:ser>
          <c:idx val="3"/>
          <c:order val="3"/>
          <c:tx>
            <c:strRef>
              <c:f>'Score Sheet'!$F$1</c:f>
              <c:strCache>
                <c:ptCount val="1"/>
                <c:pt idx="0">
                  <c:v>Column8</c:v>
                </c:pt>
              </c:strCache>
            </c:strRef>
          </c:tx>
          <c:spPr>
            <a:solidFill>
              <a:schemeClr val="accent4"/>
            </a:solidFill>
            <a:ln w="25400">
              <a:noFill/>
            </a:ln>
            <a:effectLst/>
          </c:spPr>
          <c:cat>
            <c:strRef>
              <c:extLst>
                <c:ext xmlns:c15="http://schemas.microsoft.com/office/drawing/2012/chart" uri="{02D57815-91ED-43cb-92C2-25804820EDAC}">
                  <c15:fullRef>
                    <c15:sqref>'Score Sheet'!$A$2:$B$58</c15:sqref>
                  </c15:fullRef>
                  <c15:levelRef>
                    <c15:sqref>'Score Sheet'!$A$2:$A$58</c15:sqref>
                  </c15:levelRef>
                </c:ext>
              </c:extLst>
              <c:f>'Score Sheet'!$A$2:$A$58</c:f>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f>'Score Sheet'!$F$2:$F$58</c:f>
              <c:numCache>
                <c:formatCode>_(* #,##0.00_);_(* \(#,##0.00\);_(* "-"??_);_(@_)</c:formatCode>
                <c:ptCount val="57"/>
                <c:pt idx="0" formatCode="General">
                  <c:v>0</c:v>
                </c:pt>
                <c:pt idx="1">
                  <c:v>1</c:v>
                </c:pt>
                <c:pt idx="2">
                  <c:v>1</c:v>
                </c:pt>
                <c:pt idx="3">
                  <c:v>1</c:v>
                </c:pt>
                <c:pt idx="4">
                  <c:v>1</c:v>
                </c:pt>
                <c:pt idx="5">
                  <c:v>1</c:v>
                </c:pt>
                <c:pt idx="6">
                  <c:v>0.5</c:v>
                </c:pt>
                <c:pt idx="7">
                  <c:v>0.6</c:v>
                </c:pt>
                <c:pt idx="8">
                  <c:v>0.7</c:v>
                </c:pt>
                <c:pt idx="9">
                  <c:v>0.56000000000000005</c:v>
                </c:pt>
                <c:pt idx="10">
                  <c:v>0.8</c:v>
                </c:pt>
                <c:pt idx="11">
                  <c:v>0.8</c:v>
                </c:pt>
                <c:pt idx="12">
                  <c:v>0.8</c:v>
                </c:pt>
                <c:pt idx="13">
                  <c:v>0.8</c:v>
                </c:pt>
                <c:pt idx="14">
                  <c:v>0.5</c:v>
                </c:pt>
                <c:pt idx="15">
                  <c:v>0.5</c:v>
                </c:pt>
                <c:pt idx="16">
                  <c:v>0.8</c:v>
                </c:pt>
                <c:pt idx="17">
                  <c:v>0.8</c:v>
                </c:pt>
                <c:pt idx="18">
                  <c:v>0.8</c:v>
                </c:pt>
                <c:pt idx="19">
                  <c:v>0.8</c:v>
                </c:pt>
                <c:pt idx="20">
                  <c:v>0.6</c:v>
                </c:pt>
                <c:pt idx="21">
                  <c:v>0.8</c:v>
                </c:pt>
                <c:pt idx="22">
                  <c:v>0.7</c:v>
                </c:pt>
                <c:pt idx="23">
                  <c:v>0.8</c:v>
                </c:pt>
                <c:pt idx="24">
                  <c:v>0.8</c:v>
                </c:pt>
                <c:pt idx="25">
                  <c:v>0.73</c:v>
                </c:pt>
                <c:pt idx="26">
                  <c:v>0.8</c:v>
                </c:pt>
                <c:pt idx="27">
                  <c:v>0.8</c:v>
                </c:pt>
                <c:pt idx="28">
                  <c:v>0.8</c:v>
                </c:pt>
                <c:pt idx="29">
                  <c:v>0.72</c:v>
                </c:pt>
                <c:pt idx="30">
                  <c:v>0.8</c:v>
                </c:pt>
                <c:pt idx="31">
                  <c:v>0.34</c:v>
                </c:pt>
                <c:pt idx="32">
                  <c:v>0.8</c:v>
                </c:pt>
                <c:pt idx="33">
                  <c:v>0.5</c:v>
                </c:pt>
                <c:pt idx="34">
                  <c:v>0.8</c:v>
                </c:pt>
                <c:pt idx="35">
                  <c:v>0.3</c:v>
                </c:pt>
                <c:pt idx="36">
                  <c:v>0.8</c:v>
                </c:pt>
                <c:pt idx="37">
                  <c:v>0.8</c:v>
                </c:pt>
                <c:pt idx="38">
                  <c:v>0.4</c:v>
                </c:pt>
                <c:pt idx="39">
                  <c:v>0.45</c:v>
                </c:pt>
                <c:pt idx="40">
                  <c:v>0.8</c:v>
                </c:pt>
                <c:pt idx="41">
                  <c:v>0.8</c:v>
                </c:pt>
                <c:pt idx="42">
                  <c:v>0.65</c:v>
                </c:pt>
                <c:pt idx="43">
                  <c:v>0.8</c:v>
                </c:pt>
                <c:pt idx="44">
                  <c:v>0.75</c:v>
                </c:pt>
                <c:pt idx="45">
                  <c:v>0.8</c:v>
                </c:pt>
                <c:pt idx="46">
                  <c:v>0.85</c:v>
                </c:pt>
                <c:pt idx="47">
                  <c:v>0.8</c:v>
                </c:pt>
                <c:pt idx="48">
                  <c:v>0.95</c:v>
                </c:pt>
                <c:pt idx="49">
                  <c:v>0.8</c:v>
                </c:pt>
                <c:pt idx="50">
                  <c:v>0.2</c:v>
                </c:pt>
              </c:numCache>
            </c:numRef>
          </c:val>
          <c:extLst>
            <c:ext xmlns:c16="http://schemas.microsoft.com/office/drawing/2014/chart" uri="{C3380CC4-5D6E-409C-BE32-E72D297353CC}">
              <c16:uniqueId val="{00000003-5D5D-3E4B-ADF2-3D66E472C595}"/>
            </c:ext>
          </c:extLst>
        </c:ser>
        <c:ser>
          <c:idx val="4"/>
          <c:order val="4"/>
          <c:tx>
            <c:strRef>
              <c:f>'Score Sheet'!$G$1</c:f>
              <c:strCache>
                <c:ptCount val="1"/>
                <c:pt idx="0">
                  <c:v>Column9</c:v>
                </c:pt>
              </c:strCache>
            </c:strRef>
          </c:tx>
          <c:spPr>
            <a:solidFill>
              <a:schemeClr val="accent5"/>
            </a:solidFill>
            <a:ln w="25400">
              <a:noFill/>
            </a:ln>
            <a:effectLst/>
          </c:spPr>
          <c:cat>
            <c:strRef>
              <c:extLst>
                <c:ext xmlns:c15="http://schemas.microsoft.com/office/drawing/2012/chart" uri="{02D57815-91ED-43cb-92C2-25804820EDAC}">
                  <c15:fullRef>
                    <c15:sqref>'Score Sheet'!$A$2:$B$58</c15:sqref>
                  </c15:fullRef>
                  <c15:levelRef>
                    <c15:sqref>'Score Sheet'!$A$2:$A$58</c15:sqref>
                  </c15:levelRef>
                </c:ext>
              </c:extLst>
              <c:f>'Score Sheet'!$A$2:$A$58</c:f>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f>'Score Sheet'!$G$2:$G$58</c:f>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4-5D5D-3E4B-ADF2-3D66E472C595}"/>
            </c:ext>
          </c:extLst>
        </c:ser>
        <c:ser>
          <c:idx val="5"/>
          <c:order val="5"/>
          <c:tx>
            <c:strRef>
              <c:f>'Score Sheet'!$H$1</c:f>
              <c:strCache>
                <c:ptCount val="1"/>
                <c:pt idx="0">
                  <c:v>Column11</c:v>
                </c:pt>
              </c:strCache>
            </c:strRef>
          </c:tx>
          <c:spPr>
            <a:solidFill>
              <a:schemeClr val="accent6"/>
            </a:solidFill>
            <a:ln w="25400">
              <a:noFill/>
            </a:ln>
            <a:effectLst/>
          </c:spPr>
          <c:cat>
            <c:strRef>
              <c:extLst>
                <c:ext xmlns:c15="http://schemas.microsoft.com/office/drawing/2012/chart" uri="{02D57815-91ED-43cb-92C2-25804820EDAC}">
                  <c15:fullRef>
                    <c15:sqref>'Score Sheet'!$A$2:$B$58</c15:sqref>
                  </c15:fullRef>
                  <c15:levelRef>
                    <c15:sqref>'Score Sheet'!$A$2:$A$58</c15:sqref>
                  </c15:levelRef>
                </c:ext>
              </c:extLst>
              <c:f>'Score Sheet'!$A$2:$A$58</c:f>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f>'Score Sheet'!$H$2:$H$58</c:f>
              <c:numCache>
                <c:formatCode>General</c:formatCode>
                <c:ptCount val="57"/>
                <c:pt idx="0">
                  <c:v>0</c:v>
                </c:pt>
                <c:pt idx="1">
                  <c:v>40</c:v>
                </c:pt>
                <c:pt idx="2">
                  <c:v>0</c:v>
                </c:pt>
                <c:pt idx="3">
                  <c:v>0</c:v>
                </c:pt>
                <c:pt idx="4">
                  <c:v>-30</c:v>
                </c:pt>
                <c:pt idx="5">
                  <c:v>56</c:v>
                </c:pt>
                <c:pt idx="6">
                  <c:v>18</c:v>
                </c:pt>
                <c:pt idx="7">
                  <c:v>-8</c:v>
                </c:pt>
                <c:pt idx="8">
                  <c:v>-15</c:v>
                </c:pt>
                <c:pt idx="9">
                  <c:v>-10</c:v>
                </c:pt>
                <c:pt idx="10">
                  <c:v>35</c:v>
                </c:pt>
                <c:pt idx="11">
                  <c:v>-30</c:v>
                </c:pt>
                <c:pt idx="12">
                  <c:v>-7</c:v>
                </c:pt>
                <c:pt idx="13">
                  <c:v>-48</c:v>
                </c:pt>
                <c:pt idx="14">
                  <c:v>-67</c:v>
                </c:pt>
                <c:pt idx="15">
                  <c:v>3</c:v>
                </c:pt>
                <c:pt idx="16">
                  <c:v>-25</c:v>
                </c:pt>
                <c:pt idx="17">
                  <c:v>-21</c:v>
                </c:pt>
                <c:pt idx="18">
                  <c:v>22</c:v>
                </c:pt>
                <c:pt idx="19">
                  <c:v>26</c:v>
                </c:pt>
                <c:pt idx="20">
                  <c:v>47</c:v>
                </c:pt>
                <c:pt idx="21">
                  <c:v>-50</c:v>
                </c:pt>
                <c:pt idx="22">
                  <c:v>-37</c:v>
                </c:pt>
                <c:pt idx="23">
                  <c:v>-15</c:v>
                </c:pt>
                <c:pt idx="24">
                  <c:v>-6</c:v>
                </c:pt>
                <c:pt idx="25">
                  <c:v>-60</c:v>
                </c:pt>
                <c:pt idx="26">
                  <c:v>10</c:v>
                </c:pt>
                <c:pt idx="27">
                  <c:v>-55</c:v>
                </c:pt>
                <c:pt idx="28">
                  <c:v>-57</c:v>
                </c:pt>
                <c:pt idx="29">
                  <c:v>-58</c:v>
                </c:pt>
                <c:pt idx="30">
                  <c:v>-45</c:v>
                </c:pt>
                <c:pt idx="31">
                  <c:v>-35</c:v>
                </c:pt>
                <c:pt idx="32">
                  <c:v>5</c:v>
                </c:pt>
                <c:pt idx="33">
                  <c:v>15</c:v>
                </c:pt>
                <c:pt idx="34">
                  <c:v>-25</c:v>
                </c:pt>
                <c:pt idx="35">
                  <c:v>21</c:v>
                </c:pt>
                <c:pt idx="36">
                  <c:v>-35</c:v>
                </c:pt>
                <c:pt idx="37">
                  <c:v>-2</c:v>
                </c:pt>
                <c:pt idx="38">
                  <c:v>-16</c:v>
                </c:pt>
                <c:pt idx="39">
                  <c:v>3</c:v>
                </c:pt>
                <c:pt idx="40">
                  <c:v>9</c:v>
                </c:pt>
                <c:pt idx="41">
                  <c:v>29</c:v>
                </c:pt>
                <c:pt idx="42">
                  <c:v>40</c:v>
                </c:pt>
                <c:pt idx="43">
                  <c:v>50</c:v>
                </c:pt>
                <c:pt idx="44">
                  <c:v>33</c:v>
                </c:pt>
                <c:pt idx="45">
                  <c:v>42</c:v>
                </c:pt>
                <c:pt idx="46">
                  <c:v>-12</c:v>
                </c:pt>
                <c:pt idx="47">
                  <c:v>-33</c:v>
                </c:pt>
                <c:pt idx="48">
                  <c:v>30</c:v>
                </c:pt>
                <c:pt idx="49">
                  <c:v>44</c:v>
                </c:pt>
                <c:pt idx="50">
                  <c:v>-2</c:v>
                </c:pt>
              </c:numCache>
            </c:numRef>
          </c:val>
          <c:extLst>
            <c:ext xmlns:c16="http://schemas.microsoft.com/office/drawing/2014/chart" uri="{C3380CC4-5D6E-409C-BE32-E72D297353CC}">
              <c16:uniqueId val="{00000005-5D5D-3E4B-ADF2-3D66E472C595}"/>
            </c:ext>
          </c:extLst>
        </c:ser>
        <c:dLbls>
          <c:showLegendKey val="0"/>
          <c:showVal val="0"/>
          <c:showCatName val="0"/>
          <c:showSerName val="0"/>
          <c:showPercent val="0"/>
          <c:showBubbleSize val="0"/>
        </c:dLbls>
        <c:axId val="1069180991"/>
        <c:axId val="1069179199"/>
        <c:extLst>
          <c:ext xmlns:c15="http://schemas.microsoft.com/office/drawing/2012/chart" uri="{02D57815-91ED-43cb-92C2-25804820EDAC}">
            <c15:filteredAreaSeries>
              <c15:ser>
                <c:idx val="6"/>
                <c:order val="6"/>
                <c:tx>
                  <c:strRef>
                    <c:extLst>
                      <c:ext uri="{02D57815-91ED-43cb-92C2-25804820EDAC}">
                        <c15:formulaRef>
                          <c15:sqref>'Score Sheet'!$I$1</c15:sqref>
                        </c15:formulaRef>
                      </c:ext>
                    </c:extLst>
                    <c:strCache>
                      <c:ptCount val="1"/>
                      <c:pt idx="0">
                        <c:v>Column12</c:v>
                      </c:pt>
                    </c:strCache>
                  </c:strRef>
                </c:tx>
                <c:spPr>
                  <a:solidFill>
                    <a:schemeClr val="accent1">
                      <a:lumMod val="60000"/>
                    </a:schemeClr>
                  </a:solidFill>
                  <a:ln w="25400">
                    <a:noFill/>
                  </a:ln>
                  <a:effectLst/>
                </c:spPr>
                <c:cat>
                  <c:strRef>
                    <c:extLst>
                      <c:ext uri="{02D57815-91ED-43cb-92C2-25804820EDAC}">
                        <c15:fullRef>
                          <c15:sqref>'Score Sheet'!$A$2:$B$58</c15:sqref>
                        </c15:fullRef>
                        <c15:levelRef>
                          <c15:sqref>'Score Sheet'!$A$2:$A$58</c15:sqref>
                        </c15:levelRef>
                        <c15:formulaRef>
                          <c15:sqref>'Score Sheet'!$A$2:$A$58</c15:sqref>
                        </c15:formulaRef>
                      </c:ext>
                    </c:extLst>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extLst>
                      <c:ext uri="{02D57815-91ED-43cb-92C2-25804820EDAC}">
                        <c15:formulaRef>
                          <c15:sqref>'Score Sheet'!$I$2:$I$58</c15:sqref>
                        </c15:formulaRef>
                      </c:ext>
                    </c:extLst>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c:ext xmlns:c16="http://schemas.microsoft.com/office/drawing/2014/chart" uri="{C3380CC4-5D6E-409C-BE32-E72D297353CC}">
                    <c16:uniqueId val="{00000006-5D5D-3E4B-ADF2-3D66E472C595}"/>
                  </c:ext>
                </c:extLst>
              </c15:ser>
            </c15:filteredAreaSeries>
            <c15:filteredAreaSeries>
              <c15:ser>
                <c:idx val="7"/>
                <c:order val="7"/>
                <c:tx>
                  <c:strRef>
                    <c:extLst>
                      <c:ext xmlns:c15="http://schemas.microsoft.com/office/drawing/2012/chart" uri="{02D57815-91ED-43cb-92C2-25804820EDAC}">
                        <c15:formulaRef>
                          <c15:sqref>'Score Sheet'!$J$1</c15:sqref>
                        </c15:formulaRef>
                      </c:ext>
                    </c:extLst>
                    <c:strCache>
                      <c:ptCount val="1"/>
                      <c:pt idx="0">
                        <c:v>Column13</c:v>
                      </c:pt>
                    </c:strCache>
                  </c:strRef>
                </c:tx>
                <c:spPr>
                  <a:solidFill>
                    <a:schemeClr val="accent2">
                      <a:lumMod val="60000"/>
                    </a:schemeClr>
                  </a:solidFill>
                  <a:ln w="25400">
                    <a:noFill/>
                  </a:ln>
                  <a:effectLst/>
                </c:spPr>
                <c:cat>
                  <c:strRef>
                    <c:extLst>
                      <c:ext xmlns:c15="http://schemas.microsoft.com/office/drawing/2012/chart" uri="{02D57815-91ED-43cb-92C2-25804820EDAC}">
                        <c15:fullRef>
                          <c15:sqref>'Score Sheet'!$A$2:$B$58</c15:sqref>
                        </c15:fullRef>
                        <c15:levelRef>
                          <c15:sqref>'Score Sheet'!$A$2:$A$58</c15:sqref>
                        </c15:levelRef>
                        <c15:formulaRef>
                          <c15:sqref>'Score Sheet'!$A$2:$A$58</c15:sqref>
                        </c15:formulaRef>
                      </c:ext>
                    </c:extLst>
                    <c:strCache>
                      <c:ptCount val="57"/>
                      <c:pt idx="0">
                        <c:v>Student Name</c:v>
                      </c:pt>
                      <c:pt idx="1">
                        <c:v>Student 1</c:v>
                      </c:pt>
                      <c:pt idx="2">
                        <c:v>Student 2</c:v>
                      </c:pt>
                      <c:pt idx="3">
                        <c:v>Student 3</c:v>
                      </c:pt>
                      <c:pt idx="4">
                        <c:v>Student 4</c:v>
                      </c:pt>
                      <c:pt idx="5">
                        <c:v>Student 5</c:v>
                      </c:pt>
                      <c:pt idx="6">
                        <c:v>Student 6</c:v>
                      </c:pt>
                      <c:pt idx="7">
                        <c:v>Student 7</c:v>
                      </c:pt>
                      <c:pt idx="8">
                        <c:v>Student 8</c:v>
                      </c:pt>
                      <c:pt idx="9">
                        <c:v>Student 9</c:v>
                      </c:pt>
                      <c:pt idx="10">
                        <c:v>Student 10</c:v>
                      </c:pt>
                      <c:pt idx="11">
                        <c:v>Student 11</c:v>
                      </c:pt>
                      <c:pt idx="12">
                        <c:v>Student 12</c:v>
                      </c:pt>
                      <c:pt idx="13">
                        <c:v>Student 13</c:v>
                      </c:pt>
                      <c:pt idx="14">
                        <c:v>Student 14</c:v>
                      </c:pt>
                      <c:pt idx="15">
                        <c:v>Student 15</c:v>
                      </c:pt>
                      <c:pt idx="16">
                        <c:v>Student 16</c:v>
                      </c:pt>
                      <c:pt idx="17">
                        <c:v>Student 17</c:v>
                      </c:pt>
                      <c:pt idx="18">
                        <c:v>Student 18</c:v>
                      </c:pt>
                      <c:pt idx="19">
                        <c:v>Student 19</c:v>
                      </c:pt>
                      <c:pt idx="20">
                        <c:v>Student 20</c:v>
                      </c:pt>
                      <c:pt idx="21">
                        <c:v>Student 21</c:v>
                      </c:pt>
                      <c:pt idx="22">
                        <c:v>Student 22</c:v>
                      </c:pt>
                      <c:pt idx="23">
                        <c:v>Student 23</c:v>
                      </c:pt>
                      <c:pt idx="24">
                        <c:v>Student 24</c:v>
                      </c:pt>
                      <c:pt idx="25">
                        <c:v>Student 25</c:v>
                      </c:pt>
                      <c:pt idx="26">
                        <c:v>Student 26</c:v>
                      </c:pt>
                      <c:pt idx="27">
                        <c:v>Student 27</c:v>
                      </c:pt>
                      <c:pt idx="28">
                        <c:v>Student 28</c:v>
                      </c:pt>
                      <c:pt idx="29">
                        <c:v>Student 29</c:v>
                      </c:pt>
                      <c:pt idx="30">
                        <c:v>Student 30</c:v>
                      </c:pt>
                      <c:pt idx="31">
                        <c:v>Student 31</c:v>
                      </c:pt>
                      <c:pt idx="32">
                        <c:v>Student 32</c:v>
                      </c:pt>
                      <c:pt idx="33">
                        <c:v>Student 33</c:v>
                      </c:pt>
                      <c:pt idx="34">
                        <c:v>Student 34</c:v>
                      </c:pt>
                      <c:pt idx="35">
                        <c:v>Student 35</c:v>
                      </c:pt>
                      <c:pt idx="36">
                        <c:v>Student 36</c:v>
                      </c:pt>
                      <c:pt idx="37">
                        <c:v>Student 37</c:v>
                      </c:pt>
                      <c:pt idx="38">
                        <c:v>Student 38</c:v>
                      </c:pt>
                      <c:pt idx="39">
                        <c:v>Student 39</c:v>
                      </c:pt>
                      <c:pt idx="40">
                        <c:v>Student 40</c:v>
                      </c:pt>
                      <c:pt idx="41">
                        <c:v>Student 41</c:v>
                      </c:pt>
                      <c:pt idx="42">
                        <c:v>Student 42</c:v>
                      </c:pt>
                      <c:pt idx="43">
                        <c:v>Student 43</c:v>
                      </c:pt>
                      <c:pt idx="44">
                        <c:v>Student 44</c:v>
                      </c:pt>
                      <c:pt idx="45">
                        <c:v>Student 45</c:v>
                      </c:pt>
                      <c:pt idx="46">
                        <c:v>Student 46</c:v>
                      </c:pt>
                      <c:pt idx="47">
                        <c:v>Student 47</c:v>
                      </c:pt>
                      <c:pt idx="48">
                        <c:v>Student 48</c:v>
                      </c:pt>
                      <c:pt idx="49">
                        <c:v>Student 49</c:v>
                      </c:pt>
                      <c:pt idx="50">
                        <c:v>Student 50</c:v>
                      </c:pt>
                      <c:pt idx="51">
                        <c:v>Total Students:</c:v>
                      </c:pt>
                      <c:pt idx="52">
                        <c:v>50</c:v>
                      </c:pt>
                      <c:pt idx="53">
                        <c:v>Average September Score:</c:v>
                      </c:pt>
                      <c:pt idx="54">
                        <c:v>59.9</c:v>
                      </c:pt>
                      <c:pt idx="55">
                        <c:v>Average August Score:</c:v>
                      </c:pt>
                      <c:pt idx="56">
                        <c:v>64.42</c:v>
                      </c:pt>
                    </c:strCache>
                  </c:strRef>
                </c:cat>
                <c:val>
                  <c:numRef>
                    <c:extLst>
                      <c:ext xmlns:c15="http://schemas.microsoft.com/office/drawing/2012/chart" uri="{02D57815-91ED-43cb-92C2-25804820EDAC}">
                        <c15:formulaRef>
                          <c15:sqref>'Score Sheet'!$J$2:$J$58</c15:sqref>
                        </c15:formulaRef>
                      </c:ext>
                    </c:extLst>
                    <c:numCache>
                      <c:formatCode>General</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extLst xmlns:c15="http://schemas.microsoft.com/office/drawing/2012/chart">
                  <c:ext xmlns:c16="http://schemas.microsoft.com/office/drawing/2014/chart" uri="{C3380CC4-5D6E-409C-BE32-E72D297353CC}">
                    <c16:uniqueId val="{00000007-5D5D-3E4B-ADF2-3D66E472C595}"/>
                  </c:ext>
                </c:extLst>
              </c15:ser>
            </c15:filteredAreaSeries>
          </c:ext>
        </c:extLst>
      </c:areaChart>
      <c:catAx>
        <c:axId val="1069180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79199"/>
        <c:crosses val="autoZero"/>
        <c:auto val="1"/>
        <c:lblAlgn val="ctr"/>
        <c:lblOffset val="100"/>
        <c:noMultiLvlLbl val="0"/>
      </c:catAx>
      <c:valAx>
        <c:axId val="106917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80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'Score Sheet'!$H$2</c:f>
              <c:strCache>
                <c:ptCount val="1"/>
                <c:pt idx="0">
                  <c:v>Score Change (Percentage Points)</c:v>
                </c:pt>
              </c:strCache>
            </c:strRef>
          </c:tx>
          <c:spPr>
            <a:solidFill>
              <a:schemeClr val="accent1"/>
            </a:solidFill>
            <a:ln>
              <a:noFill/>
            </a:ln>
            <a:effectLst/>
          </c:spPr>
          <c:invertIfNegative val="0"/>
          <c:val>
            <c:numRef>
              <c:f>'Score Sheet'!$H$3:$H$52</c:f>
              <c:numCache>
                <c:formatCode>General</c:formatCode>
                <c:ptCount val="50"/>
                <c:pt idx="0">
                  <c:v>40</c:v>
                </c:pt>
                <c:pt idx="1">
                  <c:v>0</c:v>
                </c:pt>
                <c:pt idx="2">
                  <c:v>0</c:v>
                </c:pt>
                <c:pt idx="3">
                  <c:v>-30</c:v>
                </c:pt>
                <c:pt idx="4">
                  <c:v>56</c:v>
                </c:pt>
                <c:pt idx="5">
                  <c:v>18</c:v>
                </c:pt>
                <c:pt idx="6">
                  <c:v>-8</c:v>
                </c:pt>
                <c:pt idx="7">
                  <c:v>-15</c:v>
                </c:pt>
                <c:pt idx="8">
                  <c:v>-10</c:v>
                </c:pt>
                <c:pt idx="9">
                  <c:v>35</c:v>
                </c:pt>
                <c:pt idx="10">
                  <c:v>-30</c:v>
                </c:pt>
                <c:pt idx="11">
                  <c:v>-7</c:v>
                </c:pt>
                <c:pt idx="12">
                  <c:v>-48</c:v>
                </c:pt>
                <c:pt idx="13">
                  <c:v>-67</c:v>
                </c:pt>
                <c:pt idx="14">
                  <c:v>3</c:v>
                </c:pt>
                <c:pt idx="15">
                  <c:v>-25</c:v>
                </c:pt>
                <c:pt idx="16">
                  <c:v>-21</c:v>
                </c:pt>
                <c:pt idx="17">
                  <c:v>22</c:v>
                </c:pt>
                <c:pt idx="18">
                  <c:v>26</c:v>
                </c:pt>
                <c:pt idx="19">
                  <c:v>47</c:v>
                </c:pt>
                <c:pt idx="20">
                  <c:v>-50</c:v>
                </c:pt>
                <c:pt idx="21">
                  <c:v>-37</c:v>
                </c:pt>
                <c:pt idx="22">
                  <c:v>-15</c:v>
                </c:pt>
                <c:pt idx="23">
                  <c:v>-6</c:v>
                </c:pt>
                <c:pt idx="24">
                  <c:v>-60</c:v>
                </c:pt>
                <c:pt idx="25">
                  <c:v>10</c:v>
                </c:pt>
                <c:pt idx="26">
                  <c:v>-55</c:v>
                </c:pt>
                <c:pt idx="27">
                  <c:v>-57</c:v>
                </c:pt>
                <c:pt idx="28">
                  <c:v>-58</c:v>
                </c:pt>
                <c:pt idx="29">
                  <c:v>-45</c:v>
                </c:pt>
                <c:pt idx="30">
                  <c:v>-35</c:v>
                </c:pt>
                <c:pt idx="31">
                  <c:v>5</c:v>
                </c:pt>
                <c:pt idx="32">
                  <c:v>15</c:v>
                </c:pt>
                <c:pt idx="33">
                  <c:v>-25</c:v>
                </c:pt>
                <c:pt idx="34">
                  <c:v>21</c:v>
                </c:pt>
                <c:pt idx="35">
                  <c:v>-35</c:v>
                </c:pt>
                <c:pt idx="36">
                  <c:v>-2</c:v>
                </c:pt>
                <c:pt idx="37">
                  <c:v>-16</c:v>
                </c:pt>
                <c:pt idx="38">
                  <c:v>3</c:v>
                </c:pt>
                <c:pt idx="39">
                  <c:v>9</c:v>
                </c:pt>
                <c:pt idx="40">
                  <c:v>29</c:v>
                </c:pt>
                <c:pt idx="41">
                  <c:v>40</c:v>
                </c:pt>
                <c:pt idx="42">
                  <c:v>50</c:v>
                </c:pt>
                <c:pt idx="43">
                  <c:v>33</c:v>
                </c:pt>
                <c:pt idx="44">
                  <c:v>42</c:v>
                </c:pt>
                <c:pt idx="45">
                  <c:v>-12</c:v>
                </c:pt>
                <c:pt idx="46">
                  <c:v>-33</c:v>
                </c:pt>
                <c:pt idx="47">
                  <c:v>30</c:v>
                </c:pt>
                <c:pt idx="48">
                  <c:v>44</c:v>
                </c:pt>
                <c:pt idx="49">
                  <c:v>-2</c:v>
                </c:pt>
              </c:numCache>
            </c:numRef>
          </c:val>
          <c:extLst>
            <c:ext xmlns:c16="http://schemas.microsoft.com/office/drawing/2014/chart" uri="{C3380CC4-5D6E-409C-BE32-E72D297353CC}">
              <c16:uniqueId val="{00000000-7F34-BA4B-A3D6-19C4B3E099A8}"/>
            </c:ext>
          </c:extLst>
        </c:ser>
        <c:dLbls>
          <c:showLegendKey val="0"/>
          <c:showVal val="0"/>
          <c:showCatName val="0"/>
          <c:showSerName val="0"/>
          <c:showPercent val="0"/>
          <c:showBubbleSize val="0"/>
        </c:dLbls>
        <c:gapWidth val="219"/>
        <c:overlap val="-27"/>
        <c:axId val="1067897663"/>
        <c:axId val="968966143"/>
      </c:barChart>
      <c:catAx>
        <c:axId val="10678976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966143"/>
        <c:crosses val="autoZero"/>
        <c:auto val="1"/>
        <c:lblAlgn val="ctr"/>
        <c:lblOffset val="100"/>
        <c:noMultiLvlLbl val="0"/>
      </c:catAx>
      <c:valAx>
        <c:axId val="96896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9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tx>
            <c:strRef>
              <c:f>'Score Sheet'!$D$2</c:f>
              <c:strCache>
                <c:ptCount val="1"/>
                <c:pt idx="0">
                  <c:v>September Score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'Score Sheet'!$D$3:$D$52</c:f>
              <c:numCache>
                <c:formatCode>General</c:formatCode>
                <c:ptCount val="50"/>
                <c:pt idx="0">
                  <c:v>90</c:v>
                </c:pt>
                <c:pt idx="1">
                  <c:v>70</c:v>
                </c:pt>
                <c:pt idx="2">
                  <c:v>60</c:v>
                </c:pt>
                <c:pt idx="3">
                  <c:v>60</c:v>
                </c:pt>
                <c:pt idx="4">
                  <c:v>80</c:v>
                </c:pt>
                <c:pt idx="5">
                  <c:v>50</c:v>
                </c:pt>
                <c:pt idx="6">
                  <c:v>70</c:v>
                </c:pt>
                <c:pt idx="7">
                  <c:v>80</c:v>
                </c:pt>
                <c:pt idx="8">
                  <c:v>90</c:v>
                </c:pt>
                <c:pt idx="9">
                  <c:v>100</c:v>
                </c:pt>
                <c:pt idx="10">
                  <c:v>70</c:v>
                </c:pt>
                <c:pt idx="11">
                  <c:v>60</c:v>
                </c:pt>
                <c:pt idx="12">
                  <c:v>30</c:v>
                </c:pt>
                <c:pt idx="13">
                  <c:v>20</c:v>
                </c:pt>
                <c:pt idx="14">
                  <c:v>100</c:v>
                </c:pt>
                <c:pt idx="15">
                  <c:v>60</c:v>
                </c:pt>
                <c:pt idx="16">
                  <c:v>45</c:v>
                </c:pt>
                <c:pt idx="17">
                  <c:v>67</c:v>
                </c:pt>
                <c:pt idx="18">
                  <c:v>80</c:v>
                </c:pt>
                <c:pt idx="19">
                  <c:v>95</c:v>
                </c:pt>
                <c:pt idx="20">
                  <c:v>45</c:v>
                </c:pt>
                <c:pt idx="21">
                  <c:v>55</c:v>
                </c:pt>
                <c:pt idx="22">
                  <c:v>67</c:v>
                </c:pt>
                <c:pt idx="23">
                  <c:v>82</c:v>
                </c:pt>
                <c:pt idx="24">
                  <c:v>30</c:v>
                </c:pt>
                <c:pt idx="25">
                  <c:v>20</c:v>
                </c:pt>
                <c:pt idx="26">
                  <c:v>0</c:v>
                </c:pt>
                <c:pt idx="27">
                  <c:v>10</c:v>
                </c:pt>
                <c:pt idx="28">
                  <c:v>20</c:v>
                </c:pt>
                <c:pt idx="29">
                  <c:v>25</c:v>
                </c:pt>
                <c:pt idx="30">
                  <c:v>25</c:v>
                </c:pt>
                <c:pt idx="31">
                  <c:v>25</c:v>
                </c:pt>
                <c:pt idx="32">
                  <c:v>25</c:v>
                </c:pt>
                <c:pt idx="33">
                  <c:v>25</c:v>
                </c:pt>
                <c:pt idx="34">
                  <c:v>66</c:v>
                </c:pt>
                <c:pt idx="35">
                  <c:v>25</c:v>
                </c:pt>
                <c:pt idx="36">
                  <c:v>66</c:v>
                </c:pt>
                <c:pt idx="37">
                  <c:v>78</c:v>
                </c:pt>
                <c:pt idx="38">
                  <c:v>95</c:v>
                </c:pt>
                <c:pt idx="39">
                  <c:v>100</c:v>
                </c:pt>
                <c:pt idx="40">
                  <c:v>80</c:v>
                </c:pt>
                <c:pt idx="41">
                  <c:v>75</c:v>
                </c:pt>
                <c:pt idx="42">
                  <c:v>75</c:v>
                </c:pt>
                <c:pt idx="43">
                  <c:v>80</c:v>
                </c:pt>
                <c:pt idx="44">
                  <c:v>90</c:v>
                </c:pt>
                <c:pt idx="45">
                  <c:v>54</c:v>
                </c:pt>
                <c:pt idx="46">
                  <c:v>45</c:v>
                </c:pt>
                <c:pt idx="47">
                  <c:v>60</c:v>
                </c:pt>
                <c:pt idx="48">
                  <c:v>100</c:v>
                </c:pt>
                <c:pt idx="49">
                  <c:v>75</c:v>
                </c:pt>
              </c:numCache>
            </c:numRef>
          </c:val>
          <c:smooth val="0"/>
          <c:extLst>
            <c:ext xmlns:c16="http://schemas.microsoft.com/office/drawing/2014/chart" uri="{C3380CC4-5D6E-409C-BE32-E72D297353CC}">
              <c16:uniqueId val="{00000000-633D-584A-81AF-8D305F40CB69}"/>
            </c:ext>
          </c:extLst>
        </c:ser>
        <c:ser>
          <c:idx val="1"/>
          <c:order val="1"/>
          <c:tx>
            <c:strRef>
              <c:f>'Score Sheet'!#REF!</c:f>
              <c:strCache>
                <c:ptCount val="1"/>
                <c:pt idx="0">
                  <c:v>#REF!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'Score Sheet'!#REF!</c:f>
              <c:numCache>
                <c:formatCode>General</c:formatCode>
                <c:ptCount val="1"/>
                <c:pt idx="0">
                  <c:v>1</c:v>
                </c:pt>
              </c:numCache>
            </c:numRef>
          </c:val>
          <c:smooth val="0"/>
          <c:extLst>
            <c:ext xmlns:c16="http://schemas.microsoft.com/office/drawing/2014/chart" uri="{C3380CC4-5D6E-409C-BE32-E72D297353CC}">
              <c16:uniqueId val="{00000001-633D-584A-81AF-8D305F40CB69}"/>
            </c:ext>
          </c:extLst>
        </c:ser>
        <c:ser>
          <c:idx val="2"/>
          <c:order val="2"/>
          <c:tx>
            <c:strRef>
              <c:f>'Score Sheet'!$E$2</c:f>
              <c:strCache>
                <c:ptCount val="1"/>
                <c:pt idx="0">
                  <c:v>August Score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'Score Sheet'!$E$3:$E$52</c:f>
              <c:numCache>
                <c:formatCode>General</c:formatCode>
                <c:ptCount val="50"/>
                <c:pt idx="0">
                  <c:v>50</c:v>
                </c:pt>
                <c:pt idx="1">
                  <c:v>70</c:v>
                </c:pt>
                <c:pt idx="2">
                  <c:v>60</c:v>
                </c:pt>
                <c:pt idx="3">
                  <c:v>90</c:v>
                </c:pt>
                <c:pt idx="4">
                  <c:v>24</c:v>
                </c:pt>
                <c:pt idx="5">
                  <c:v>32</c:v>
                </c:pt>
                <c:pt idx="6">
                  <c:v>78</c:v>
                </c:pt>
                <c:pt idx="7">
                  <c:v>95</c:v>
                </c:pt>
                <c:pt idx="8">
                  <c:v>100</c:v>
                </c:pt>
                <c:pt idx="9">
                  <c:v>65</c:v>
                </c:pt>
                <c:pt idx="10">
                  <c:v>100</c:v>
                </c:pt>
                <c:pt idx="11">
                  <c:v>67</c:v>
                </c:pt>
                <c:pt idx="12">
                  <c:v>78</c:v>
                </c:pt>
                <c:pt idx="13">
                  <c:v>87</c:v>
                </c:pt>
                <c:pt idx="14">
                  <c:v>97</c:v>
                </c:pt>
                <c:pt idx="15">
                  <c:v>85</c:v>
                </c:pt>
                <c:pt idx="16">
                  <c:v>66</c:v>
                </c:pt>
                <c:pt idx="17">
                  <c:v>45</c:v>
                </c:pt>
                <c:pt idx="18">
                  <c:v>54</c:v>
                </c:pt>
                <c:pt idx="19">
                  <c:v>48</c:v>
                </c:pt>
                <c:pt idx="20">
                  <c:v>95</c:v>
                </c:pt>
                <c:pt idx="21">
                  <c:v>92</c:v>
                </c:pt>
                <c:pt idx="22">
                  <c:v>82</c:v>
                </c:pt>
                <c:pt idx="23">
                  <c:v>88</c:v>
                </c:pt>
                <c:pt idx="24">
                  <c:v>90</c:v>
                </c:pt>
                <c:pt idx="25">
                  <c:v>10</c:v>
                </c:pt>
                <c:pt idx="26">
                  <c:v>55</c:v>
                </c:pt>
                <c:pt idx="27">
                  <c:v>67</c:v>
                </c:pt>
                <c:pt idx="28">
                  <c:v>78</c:v>
                </c:pt>
                <c:pt idx="29">
                  <c:v>70</c:v>
                </c:pt>
                <c:pt idx="30">
                  <c:v>60</c:v>
                </c:pt>
                <c:pt idx="31">
                  <c:v>20</c:v>
                </c:pt>
                <c:pt idx="32">
                  <c:v>10</c:v>
                </c:pt>
                <c:pt idx="33">
                  <c:v>50</c:v>
                </c:pt>
                <c:pt idx="34">
                  <c:v>45</c:v>
                </c:pt>
                <c:pt idx="35">
                  <c:v>60</c:v>
                </c:pt>
                <c:pt idx="36">
                  <c:v>68</c:v>
                </c:pt>
                <c:pt idx="37">
                  <c:v>94</c:v>
                </c:pt>
                <c:pt idx="38">
                  <c:v>92</c:v>
                </c:pt>
                <c:pt idx="39">
                  <c:v>91</c:v>
                </c:pt>
                <c:pt idx="40">
                  <c:v>51</c:v>
                </c:pt>
                <c:pt idx="41">
                  <c:v>35</c:v>
                </c:pt>
                <c:pt idx="42">
                  <c:v>25</c:v>
                </c:pt>
                <c:pt idx="43">
                  <c:v>47</c:v>
                </c:pt>
                <c:pt idx="44">
                  <c:v>48</c:v>
                </c:pt>
                <c:pt idx="45">
                  <c:v>66</c:v>
                </c:pt>
                <c:pt idx="46">
                  <c:v>78</c:v>
                </c:pt>
                <c:pt idx="47">
                  <c:v>30</c:v>
                </c:pt>
                <c:pt idx="48">
                  <c:v>56</c:v>
                </c:pt>
                <c:pt idx="49">
                  <c:v>77</c:v>
                </c:pt>
              </c:numCache>
            </c:numRef>
          </c:val>
          <c:smooth val="0"/>
          <c:extLst>
            <c:ext xmlns:c16="http://schemas.microsoft.com/office/drawing/2014/chart" uri="{C3380CC4-5D6E-409C-BE32-E72D297353CC}">
              <c16:uniqueId val="{00000002-633D-584A-81AF-8D305F40CB69}"/>
            </c:ext>
          </c:extLst>
        </c:ser>
        <c:dLbls>
          <c:showLegendKey val="0"/>
          <c:showVal val="0"/>
          <c:showCatName val="0"/>
          <c:showSerName val="0"/>
          <c:showPercent val="0"/>
          <c:showBubbleSize val="0"/>
        </c:dLbls>
        <c:marker val="1"/>
        <c:smooth val="0"/>
        <c:axId val="1083742335"/>
        <c:axId val="1083750847"/>
      </c:lineChart>
      <c:catAx>
        <c:axId val="10837423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50847"/>
        <c:crosses val="autoZero"/>
        <c:auto val="1"/>
        <c:lblAlgn val="ctr"/>
        <c:lblOffset val="100"/>
        <c:noMultiLvlLbl val="0"/>
      </c:catAx>
      <c:valAx>
        <c:axId val="108375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42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1.1596675415573385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Summary!$B$1</c:f>
              <c:strCache>
                <c:ptCount val="1"/>
                <c:pt idx="0">
                  <c:v>Avg. August</c:v>
                </c:pt>
              </c:strCache>
            </c:strRef>
          </c:tx>
          <c:spPr>
            <a:solidFill>
              <a:schemeClr val="accent1"/>
            </a:solidFill>
            <a:ln>
              <a:noFill/>
            </a:ln>
            <a:effectLst/>
          </c:spPr>
          <c:invertIfNegative val="0"/>
          <c:cat>
            <c:strRef>
              <c:f>Summary!$A$2:$A$3</c:f>
              <c:strCache>
                <c:ptCount val="2"/>
                <c:pt idx="0">
                  <c:v>School A</c:v>
                </c:pt>
                <c:pt idx="1">
                  <c:v>School B</c:v>
                </c:pt>
              </c:strCache>
            </c:strRef>
          </c:cat>
          <c:val>
            <c:numRef>
              <c:f>Summary!$B$2:$B$3</c:f>
              <c:numCache>
                <c:formatCode>General</c:formatCode>
                <c:ptCount val="2"/>
                <c:pt idx="0">
                  <c:v>65.599999999999994</c:v>
                </c:pt>
                <c:pt idx="1">
                  <c:v>63.24</c:v>
                </c:pt>
              </c:numCache>
            </c:numRef>
          </c:val>
          <c:extLst>
            <c:ext xmlns:c16="http://schemas.microsoft.com/office/drawing/2014/chart" uri="{C3380CC4-5D6E-409C-BE32-E72D297353CC}">
              <c16:uniqueId val="{00000000-2D4D-A24A-A9B1-BC5569E137E8}"/>
            </c:ext>
          </c:extLst>
        </c:ser>
        <c:ser>
          <c:idx val="1"/>
          <c:order val="1"/>
          <c:tx>
            <c:strRef>
              <c:f>Summary!$C$1</c:f>
              <c:strCache>
                <c:ptCount val="1"/>
                <c:pt idx="0">
                  <c:v>Avg. September</c:v>
                </c:pt>
              </c:strCache>
            </c:strRef>
          </c:tx>
          <c:spPr>
            <a:solidFill>
              <a:schemeClr val="accent2"/>
            </a:solidFill>
            <a:ln>
              <a:noFill/>
            </a:ln>
            <a:effectLst/>
          </c:spPr>
          <c:invertIfNegative val="0"/>
          <c:cat>
            <c:strRef>
              <c:f>Summary!$A$2:$A$3</c:f>
              <c:strCache>
                <c:ptCount val="2"/>
                <c:pt idx="0">
                  <c:v>School A</c:v>
                </c:pt>
                <c:pt idx="1">
                  <c:v>School B</c:v>
                </c:pt>
              </c:strCache>
            </c:strRef>
          </c:cat>
          <c:val>
            <c:numRef>
              <c:f>Summary!$C$2:$C$3</c:f>
              <c:numCache>
                <c:formatCode>General</c:formatCode>
                <c:ptCount val="2"/>
                <c:pt idx="0">
                  <c:v>61.76</c:v>
                </c:pt>
                <c:pt idx="1">
                  <c:v>58.04</c:v>
                </c:pt>
              </c:numCache>
            </c:numRef>
          </c:val>
          <c:extLst>
            <c:ext xmlns:c16="http://schemas.microsoft.com/office/drawing/2014/chart" uri="{C3380CC4-5D6E-409C-BE32-E72D297353CC}">
              <c16:uniqueId val="{00000001-2D4D-A24A-A9B1-BC5569E137E8}"/>
            </c:ext>
          </c:extLst>
        </c:ser>
        <c:ser>
          <c:idx val="2"/>
          <c:order val="2"/>
          <c:tx>
            <c:strRef>
              <c:f>Summary!$D$1</c:f>
              <c:strCache>
                <c:ptCount val="1"/>
                <c:pt idx="0">
                  <c:v>Avg. Growth</c:v>
                </c:pt>
              </c:strCache>
            </c:strRef>
          </c:tx>
          <c:spPr>
            <a:solidFill>
              <a:schemeClr val="accent3"/>
            </a:solidFill>
            <a:ln>
              <a:noFill/>
            </a:ln>
            <a:effectLst/>
          </c:spPr>
          <c:invertIfNegative val="0"/>
          <c:cat>
            <c:strRef>
              <c:f>Summary!$A$2:$A$3</c:f>
              <c:strCache>
                <c:ptCount val="2"/>
                <c:pt idx="0">
                  <c:v>School A</c:v>
                </c:pt>
                <c:pt idx="1">
                  <c:v>School B</c:v>
                </c:pt>
              </c:strCache>
            </c:strRef>
          </c:cat>
          <c:val>
            <c:numRef>
              <c:f>Summary!$D$2:$D$3</c:f>
              <c:numCache>
                <c:formatCode>General</c:formatCode>
                <c:ptCount val="2"/>
                <c:pt idx="0">
                  <c:v>-3.84</c:v>
                </c:pt>
                <c:pt idx="1">
                  <c:v>-5.2</c:v>
                </c:pt>
              </c:numCache>
            </c:numRef>
          </c:val>
          <c:extLst>
            <c:ext xmlns:c16="http://schemas.microsoft.com/office/drawing/2014/chart" uri="{C3380CC4-5D6E-409C-BE32-E72D297353CC}">
              <c16:uniqueId val="{00000002-2D4D-A24A-A9B1-BC5569E137E8}"/>
            </c:ext>
          </c:extLst>
        </c:ser>
        <c:dLbls>
          <c:showLegendKey val="0"/>
          <c:showVal val="0"/>
          <c:showCatName val="0"/>
          <c:showSerName val="0"/>
          <c:showPercent val="0"/>
          <c:showBubbleSize val="0"/>
        </c:dLbls>
        <c:gapWidth val="219"/>
        <c:overlap val="-27"/>
        <c:axId val="1069101759"/>
        <c:axId val="1069097727"/>
      </c:barChart>
      <c:catAx>
        <c:axId val="106910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97727"/>
        <c:crosses val="autoZero"/>
        <c:auto val="1"/>
        <c:lblAlgn val="ctr"/>
        <c:lblOffset val="100"/>
        <c:noMultiLvlLbl val="0"/>
      </c:catAx>
      <c:valAx>
        <c:axId val="10690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01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680446194225725E-2"/>
          <c:y val="0.19483814523184603"/>
          <c:w val="0.90287510936132986"/>
          <c:h val="0.72094889180519106"/>
        </c:manualLayout>
      </c:layout>
      <c:lineChart>
        <c:grouping val="standard"/>
        <c:varyColors val="0"/>
        <c:ser>
          <c:idx val="0"/>
          <c:order val="0"/>
          <c:tx>
            <c:strRef>
              <c:f>Summary!$B$18</c:f>
              <c:strCache>
                <c:ptCount val="1"/>
                <c:pt idx="0">
                  <c:v>Students</c:v>
                </c:pt>
              </c:strCache>
            </c:strRef>
          </c:tx>
          <c:spPr>
            <a:ln w="28575" cap="rnd">
              <a:solidFill>
                <a:schemeClr val="accent1"/>
              </a:solidFill>
              <a:round/>
            </a:ln>
            <a:effectLst/>
          </c:spPr>
          <c:marker>
            <c:symbol val="none"/>
          </c:marker>
          <c:cat>
            <c:strRef>
              <c:f>Summary!$A$19:$A$23</c:f>
              <c:strCache>
                <c:ptCount val="5"/>
                <c:pt idx="0">
                  <c:v>HIGH GROWTH</c:v>
                </c:pt>
                <c:pt idx="1">
                  <c:v>MODERATE GROWTH</c:v>
                </c:pt>
                <c:pt idx="2">
                  <c:v>LOW GROWTH</c:v>
                </c:pt>
                <c:pt idx="3">
                  <c:v>DECLINE</c:v>
                </c:pt>
                <c:pt idx="4">
                  <c:v>TOTAL</c:v>
                </c:pt>
              </c:strCache>
            </c:strRef>
          </c:cat>
          <c:val>
            <c:numRef>
              <c:f>Summary!$B$19:$B$23</c:f>
              <c:numCache>
                <c:formatCode>General</c:formatCode>
                <c:ptCount val="5"/>
                <c:pt idx="0">
                  <c:v>17</c:v>
                </c:pt>
                <c:pt idx="1">
                  <c:v>2</c:v>
                </c:pt>
                <c:pt idx="2">
                  <c:v>4</c:v>
                </c:pt>
                <c:pt idx="3">
                  <c:v>27</c:v>
                </c:pt>
                <c:pt idx="4">
                  <c:v>50</c:v>
                </c:pt>
              </c:numCache>
            </c:numRef>
          </c:val>
          <c:smooth val="0"/>
          <c:extLst>
            <c:ext xmlns:c16="http://schemas.microsoft.com/office/drawing/2014/chart" uri="{C3380CC4-5D6E-409C-BE32-E72D297353CC}">
              <c16:uniqueId val="{00000000-E5CD-E646-9AB5-E240A4B29577}"/>
            </c:ext>
          </c:extLst>
        </c:ser>
        <c:dLbls>
          <c:showLegendKey val="0"/>
          <c:showVal val="0"/>
          <c:showCatName val="0"/>
          <c:showSerName val="0"/>
          <c:showPercent val="0"/>
          <c:showBubbleSize val="0"/>
        </c:dLbls>
        <c:smooth val="0"/>
        <c:axId val="1243483647"/>
        <c:axId val="1243485439"/>
      </c:lineChart>
      <c:catAx>
        <c:axId val="124348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85439"/>
        <c:crosses val="autoZero"/>
        <c:auto val="1"/>
        <c:lblAlgn val="ctr"/>
        <c:lblOffset val="100"/>
        <c:noMultiLvlLbl val="0"/>
      </c:catAx>
      <c:valAx>
        <c:axId val="124348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48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Summary!$C$1</c:f>
              <c:strCache>
                <c:ptCount val="1"/>
                <c:pt idx="0">
                  <c:v>Avg. September</c:v>
                </c:pt>
              </c:strCache>
            </c:strRef>
          </c:tx>
          <c:spPr>
            <a:ln w="28575" cap="rnd">
              <a:solidFill>
                <a:schemeClr val="accent1"/>
              </a:solidFill>
              <a:round/>
            </a:ln>
            <a:effectLst/>
          </c:spPr>
          <c:marker>
            <c:symbol val="none"/>
          </c:marker>
          <c:val>
            <c:numRef>
              <c:f>Summary!$C$2:$C$3</c:f>
              <c:numCache>
                <c:formatCode>General</c:formatCode>
                <c:ptCount val="2"/>
                <c:pt idx="0">
                  <c:v>61.76</c:v>
                </c:pt>
                <c:pt idx="1">
                  <c:v>58.04</c:v>
                </c:pt>
              </c:numCache>
            </c:numRef>
          </c:val>
          <c:smooth val="0"/>
          <c:extLst>
            <c:ext xmlns:c16="http://schemas.microsoft.com/office/drawing/2014/chart" uri="{C3380CC4-5D6E-409C-BE32-E72D297353CC}">
              <c16:uniqueId val="{00000000-48B3-7946-9556-205F50959904}"/>
            </c:ext>
          </c:extLst>
        </c:ser>
        <c:ser>
          <c:idx val="1"/>
          <c:order val="1"/>
          <c:tx>
            <c:strRef>
              <c:f>Summary!$G$2</c:f>
              <c:strCache>
                <c:ptCount val="1"/>
                <c:pt idx="0">
                  <c:v>School A</c:v>
                </c:pt>
              </c:strCache>
            </c:strRef>
          </c:tx>
          <c:spPr>
            <a:ln w="28575" cap="rnd">
              <a:solidFill>
                <a:schemeClr val="accent2"/>
              </a:solidFill>
              <a:round/>
            </a:ln>
            <a:effectLst/>
          </c:spPr>
          <c:marker>
            <c:symbol val="none"/>
          </c:marker>
          <c:val>
            <c:numRef>
              <c:f>Summary!$G$3</c:f>
              <c:numCache>
                <c:formatCode>General</c:formatCode>
                <c:ptCount val="1"/>
                <c:pt idx="0">
                  <c:v>0</c:v>
                </c:pt>
              </c:numCache>
            </c:numRef>
          </c:val>
          <c:smooth val="0"/>
          <c:extLst>
            <c:ext xmlns:c16="http://schemas.microsoft.com/office/drawing/2014/chart" uri="{C3380CC4-5D6E-409C-BE32-E72D297353CC}">
              <c16:uniqueId val="{00000001-48B3-7946-9556-205F50959904}"/>
            </c:ext>
          </c:extLst>
        </c:ser>
        <c:dLbls>
          <c:showLegendKey val="0"/>
          <c:showVal val="0"/>
          <c:showCatName val="0"/>
          <c:showSerName val="0"/>
          <c:showPercent val="0"/>
          <c:showBubbleSize val="0"/>
        </c:dLbls>
        <c:smooth val="0"/>
        <c:axId val="1266849919"/>
        <c:axId val="1266858879"/>
      </c:lineChart>
      <c:catAx>
        <c:axId val="12668499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58879"/>
        <c:crosses val="autoZero"/>
        <c:auto val="1"/>
        <c:lblAlgn val="ctr"/>
        <c:lblOffset val="100"/>
        <c:noMultiLvlLbl val="0"/>
      </c:catAx>
      <c:valAx>
        <c:axId val="126685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49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Summary!$H$18</c:f>
              <c:strCache>
                <c:ptCount val="1"/>
                <c:pt idx="0">
                  <c:v>Students: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52-B647-8CFF-47E2B03C1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52-B647-8CFF-47E2B03C1F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52-B647-8CFF-47E2B03C1FAB}"/>
              </c:ext>
            </c:extLst>
          </c:dPt>
          <c:cat>
            <c:strRef>
              <c:f>Summary!$G$19:$G$21</c:f>
              <c:strCache>
                <c:ptCount val="3"/>
                <c:pt idx="0">
                  <c:v>MET</c:v>
                </c:pt>
                <c:pt idx="1">
                  <c:v>BELOW</c:v>
                </c:pt>
                <c:pt idx="2">
                  <c:v>TOTAL</c:v>
                </c:pt>
              </c:strCache>
            </c:strRef>
          </c:cat>
          <c:val>
            <c:numRef>
              <c:f>Summary!$H$19:$H$21</c:f>
              <c:numCache>
                <c:formatCode>General</c:formatCode>
                <c:ptCount val="3"/>
                <c:pt idx="0">
                  <c:v>22</c:v>
                </c:pt>
                <c:pt idx="1">
                  <c:v>28</c:v>
                </c:pt>
                <c:pt idx="2">
                  <c:v>50</c:v>
                </c:pt>
              </c:numCache>
            </c:numRef>
          </c:val>
          <c:extLst>
            <c:ext xmlns:c16="http://schemas.microsoft.com/office/drawing/2014/chart" uri="{C3380CC4-5D6E-409C-BE32-E72D297353CC}">
              <c16:uniqueId val="{00000000-3372-F149-87BE-2878A79048E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67733</xdr:colOff>
      <xdr:row>0</xdr:row>
      <xdr:rowOff>0</xdr:rowOff>
    </xdr:from>
    <xdr:to>
      <xdr:col>17</xdr:col>
      <xdr:colOff>347133</xdr:colOff>
      <xdr:row>15</xdr:row>
      <xdr:rowOff>107950</xdr:rowOff>
    </xdr:to>
    <xdr:graphicFrame macro="">
      <xdr:nvGraphicFramePr>
        <xdr:cNvPr id="2" name="Chart 1">
          <a:extLst>
            <a:ext uri="{FF2B5EF4-FFF2-40B4-BE49-F238E27FC236}">
              <a16:creationId xmlns:a16="http://schemas.microsoft.com/office/drawing/2014/main" id="{892816F4-BDA8-69AE-C5A4-140F5D119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90129</xdr:colOff>
      <xdr:row>19</xdr:row>
      <xdr:rowOff>52028</xdr:rowOff>
    </xdr:from>
    <xdr:to>
      <xdr:col>17</xdr:col>
      <xdr:colOff>225323</xdr:colOff>
      <xdr:row>33</xdr:row>
      <xdr:rowOff>184353</xdr:rowOff>
    </xdr:to>
    <xdr:graphicFrame macro="">
      <xdr:nvGraphicFramePr>
        <xdr:cNvPr id="4" name="Chart 3">
          <a:extLst>
            <a:ext uri="{FF2B5EF4-FFF2-40B4-BE49-F238E27FC236}">
              <a16:creationId xmlns:a16="http://schemas.microsoft.com/office/drawing/2014/main" id="{FEA4B2F9-83BC-D9D0-F28A-5316F8B2C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8193</xdr:colOff>
      <xdr:row>33</xdr:row>
      <xdr:rowOff>154448</xdr:rowOff>
    </xdr:from>
    <xdr:to>
      <xdr:col>17</xdr:col>
      <xdr:colOff>204838</xdr:colOff>
      <xdr:row>47</xdr:row>
      <xdr:rowOff>184354</xdr:rowOff>
    </xdr:to>
    <xdr:graphicFrame macro="">
      <xdr:nvGraphicFramePr>
        <xdr:cNvPr id="7" name="Chart 6">
          <a:extLst>
            <a:ext uri="{FF2B5EF4-FFF2-40B4-BE49-F238E27FC236}">
              <a16:creationId xmlns:a16="http://schemas.microsoft.com/office/drawing/2014/main" id="{CB7D55FA-9F7C-FA83-55D7-E475C4164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133350</xdr:rowOff>
    </xdr:from>
    <xdr:to>
      <xdr:col>5</xdr:col>
      <xdr:colOff>241300</xdr:colOff>
      <xdr:row>17</xdr:row>
      <xdr:rowOff>31750</xdr:rowOff>
    </xdr:to>
    <xdr:graphicFrame macro="">
      <xdr:nvGraphicFramePr>
        <xdr:cNvPr id="3" name="Chart 2">
          <a:extLst>
            <a:ext uri="{FF2B5EF4-FFF2-40B4-BE49-F238E27FC236}">
              <a16:creationId xmlns:a16="http://schemas.microsoft.com/office/drawing/2014/main" id="{6E65E480-93A9-822A-0FD5-B7CE72BDB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19050</xdr:rowOff>
    </xdr:from>
    <xdr:to>
      <xdr:col>5</xdr:col>
      <xdr:colOff>241300</xdr:colOff>
      <xdr:row>37</xdr:row>
      <xdr:rowOff>120650</xdr:rowOff>
    </xdr:to>
    <xdr:graphicFrame macro="">
      <xdr:nvGraphicFramePr>
        <xdr:cNvPr id="4" name="Chart 3">
          <a:extLst>
            <a:ext uri="{FF2B5EF4-FFF2-40B4-BE49-F238E27FC236}">
              <a16:creationId xmlns:a16="http://schemas.microsoft.com/office/drawing/2014/main" id="{E62574EB-0BA0-8575-864D-B1A8C900A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xdr:row>
      <xdr:rowOff>6350</xdr:rowOff>
    </xdr:from>
    <xdr:to>
      <xdr:col>11</xdr:col>
      <xdr:colOff>444500</xdr:colOff>
      <xdr:row>16</xdr:row>
      <xdr:rowOff>107950</xdr:rowOff>
    </xdr:to>
    <xdr:graphicFrame macro="">
      <xdr:nvGraphicFramePr>
        <xdr:cNvPr id="6" name="Chart 5">
          <a:extLst>
            <a:ext uri="{FF2B5EF4-FFF2-40B4-BE49-F238E27FC236}">
              <a16:creationId xmlns:a16="http://schemas.microsoft.com/office/drawing/2014/main" id="{94522AF0-DB0E-F5AE-5520-260EFB8F4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25400</xdr:colOff>
      <xdr:row>21</xdr:row>
      <xdr:rowOff>69850</xdr:rowOff>
    </xdr:from>
    <xdr:to>
      <xdr:col>11</xdr:col>
      <xdr:colOff>469900</xdr:colOff>
      <xdr:row>34</xdr:row>
      <xdr:rowOff>171450</xdr:rowOff>
    </xdr:to>
    <xdr:graphicFrame macro="">
      <xdr:nvGraphicFramePr>
        <xdr:cNvPr id="7" name="Chart 6">
          <a:extLst>
            <a:ext uri="{FF2B5EF4-FFF2-40B4-BE49-F238E27FC236}">
              <a16:creationId xmlns:a16="http://schemas.microsoft.com/office/drawing/2014/main" id="{9A1C2FAA-16C5-1908-18FD-FC3B47ABB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sir Carter" refreshedDate="46271.755091782405" createdVersion="8" refreshedVersion="8" minRefreshableVersion="3" recordCount="51" xr:uid="{65E192F2-73EE-7F4F-8312-381A32F03516}">
  <cacheSource type="worksheet">
    <worksheetSource name="Table1[[Column2]:[Column16]]"/>
  </cacheSource>
  <cacheFields count="15">
    <cacheField name="Column2" numFmtId="0">
      <sharedItems count="51">
        <s v="School Name"/>
        <s v="1 SCHOOL"/>
        <s v="2 SCHOOL"/>
        <s v="3 SCHOOL"/>
        <s v="4 SCHOOL"/>
        <s v="5 SCHOOL"/>
        <s v="6 SCHOOL"/>
        <s v="7 SCHOOL"/>
        <s v="8 SCHOOL"/>
        <s v="9 SCHOOL"/>
        <s v="10 SCHOOL"/>
        <s v="11 SCHOOL"/>
        <s v="12 SCHOOL"/>
        <s v="13 SCHOOL"/>
        <s v="14 SCHOOL"/>
        <s v="15 SCHOOL"/>
        <s v="16 SCHOOL"/>
        <s v="17 SCHOOL"/>
        <s v="18 SCHOOL"/>
        <s v="19 SCHOOL"/>
        <s v="20 SCHOOL"/>
        <s v="21 SCHOOL"/>
        <s v="22 SCHOOL"/>
        <s v="23 SCHOOL"/>
        <s v="24 SCHOOL"/>
        <s v="25 SCHOOL"/>
        <s v="26 SCHOOL"/>
        <s v="27 SCHOOL"/>
        <s v="28 SCHOOL"/>
        <s v="29 SCHOOL"/>
        <s v="30 SCHOOL"/>
        <s v="31 SCHOOL"/>
        <s v="32 SCHOOL"/>
        <s v="33 SCHOOL"/>
        <s v="34 SCHOOL"/>
        <s v="35 SCHOOL"/>
        <s v="36 SCHOOL"/>
        <s v="37 SCHOOL"/>
        <s v="38 SCHOOL"/>
        <s v="39 SCHOOL"/>
        <s v="40 SCHOOL"/>
        <s v="41 SCHOOL"/>
        <s v="42 SCHOOL"/>
        <s v="43 SCHOOL"/>
        <s v="44 SCHOOL"/>
        <s v="45 SCHOOL"/>
        <s v="46 SCHOOL"/>
        <s v="47 SCHOOL"/>
        <s v="48 SCHOOL"/>
        <s v="49 SCHOOL"/>
        <s v="50 SCHOOL"/>
      </sharedItems>
    </cacheField>
    <cacheField name="Column3" numFmtId="0">
      <sharedItems containsMixedTypes="1" containsNumber="1" containsInteger="1" minValue="4" maxValue="4"/>
    </cacheField>
    <cacheField name="Column4" numFmtId="0">
      <sharedItems containsMixedTypes="1" containsNumber="1" containsInteger="1" minValue="0" maxValue="100"/>
    </cacheField>
    <cacheField name="Column5" numFmtId="0">
      <sharedItems containsNonDate="0" containsString="0" containsBlank="1"/>
    </cacheField>
    <cacheField name="Column6" numFmtId="0">
      <sharedItems containsMixedTypes="1" containsNumber="1" containsInteger="1" minValue="10" maxValue="100"/>
    </cacheField>
    <cacheField name="Column7" numFmtId="0">
      <sharedItems containsNonDate="0" containsString="0" containsBlank="1"/>
    </cacheField>
    <cacheField name="Column8" numFmtId="0">
      <sharedItems containsMixedTypes="1" containsNumber="1" minValue="0.5" maxValue="1"/>
    </cacheField>
    <cacheField name="Column9" numFmtId="0">
      <sharedItems/>
    </cacheField>
    <cacheField name="Column10" numFmtId="0">
      <sharedItems containsNonDate="0" containsString="0" containsBlank="1"/>
    </cacheField>
    <cacheField name="Column11" numFmtId="0">
      <sharedItems containsMixedTypes="1" containsNumber="1" containsInteger="1" minValue="-67" maxValue="56"/>
    </cacheField>
    <cacheField name="Column12" numFmtId="0">
      <sharedItems containsNonDate="0" containsString="0" containsBlank="1"/>
    </cacheField>
    <cacheField name="Column13" numFmtId="0">
      <sharedItems containsNonDate="0" containsString="0" containsBlank="1"/>
    </cacheField>
    <cacheField name="Column14" numFmtId="0">
      <sharedItems/>
    </cacheField>
    <cacheField name="Column15" numFmtId="0">
      <sharedItems containsNonDate="0" containsString="0" containsBlank="1"/>
    </cacheField>
    <cacheField name="Column16"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s v="Grade"/>
    <s v="Exit Ticket September %"/>
    <m/>
    <s v="Exit Ticket August %"/>
    <m/>
    <s v="Attendance"/>
    <s v="IEP or Supplemental Aid"/>
    <m/>
    <s v="Growth on Exit Ticket %"/>
    <m/>
    <m/>
    <s v="Benchmark Status"/>
    <m/>
    <s v="Growth Category"/>
  </r>
  <r>
    <x v="1"/>
    <n v="4"/>
    <n v="90"/>
    <m/>
    <n v="50"/>
    <m/>
    <n v="1"/>
    <s v="IEP"/>
    <m/>
    <n v="40"/>
    <m/>
    <m/>
    <s v="Met"/>
    <m/>
    <s v="HIGH GROWTH"/>
  </r>
  <r>
    <x v="2"/>
    <n v="4"/>
    <n v="70"/>
    <m/>
    <n v="70"/>
    <m/>
    <n v="1"/>
    <s v="IEP"/>
    <m/>
    <n v="0"/>
    <m/>
    <m/>
    <s v="Met"/>
    <m/>
    <s v="LOW"/>
  </r>
  <r>
    <x v="3"/>
    <n v="4"/>
    <n v="60"/>
    <m/>
    <n v="60"/>
    <m/>
    <n v="1"/>
    <s v="Text to Speech"/>
    <m/>
    <n v="0"/>
    <m/>
    <m/>
    <s v="Below"/>
    <m/>
    <s v="LOW"/>
  </r>
  <r>
    <x v="4"/>
    <n v="4"/>
    <n v="60"/>
    <m/>
    <n v="90"/>
    <m/>
    <n v="1"/>
    <s v="N/A"/>
    <m/>
    <n v="-30"/>
    <m/>
    <m/>
    <s v="Below"/>
    <m/>
    <s v="NON"/>
  </r>
  <r>
    <x v="5"/>
    <n v="4"/>
    <n v="80"/>
    <m/>
    <n v="24"/>
    <m/>
    <n v="1"/>
    <s v="N/A"/>
    <m/>
    <n v="56"/>
    <m/>
    <m/>
    <s v="Met"/>
    <m/>
    <s v="HIGH GROWTH"/>
  </r>
  <r>
    <x v="6"/>
    <n v="4"/>
    <n v="50"/>
    <m/>
    <n v="32"/>
    <m/>
    <n v="0.5"/>
    <s v="N/A"/>
    <m/>
    <n v="18"/>
    <m/>
    <m/>
    <s v="Below"/>
    <m/>
    <s v="HIGH GROWTH"/>
  </r>
  <r>
    <x v="7"/>
    <n v="4"/>
    <n v="70"/>
    <m/>
    <n v="78"/>
    <m/>
    <n v="0.6"/>
    <s v="N/A"/>
    <m/>
    <n v="-8"/>
    <m/>
    <m/>
    <s v="Met"/>
    <m/>
    <s v="NON"/>
  </r>
  <r>
    <x v="8"/>
    <n v="4"/>
    <n v="80"/>
    <m/>
    <n v="95"/>
    <m/>
    <n v="0.7"/>
    <s v="N/A"/>
    <m/>
    <n v="-15"/>
    <m/>
    <m/>
    <s v="Met"/>
    <m/>
    <s v="NON"/>
  </r>
  <r>
    <x v="9"/>
    <n v="4"/>
    <n v="90"/>
    <m/>
    <n v="100"/>
    <m/>
    <n v="0.56000000000000005"/>
    <s v="IEP"/>
    <m/>
    <n v="-10"/>
    <m/>
    <m/>
    <s v="Met"/>
    <m/>
    <s v="NON"/>
  </r>
  <r>
    <x v="10"/>
    <n v="4"/>
    <n v="100"/>
    <m/>
    <n v="65"/>
    <m/>
    <n v="0.8"/>
    <s v="N/A"/>
    <m/>
    <n v="35"/>
    <m/>
    <m/>
    <s v="Met"/>
    <m/>
    <s v="HIGH GROWTH"/>
  </r>
  <r>
    <x v="11"/>
    <n v="4"/>
    <n v="70"/>
    <m/>
    <n v="100"/>
    <m/>
    <n v="0.8"/>
    <s v="N/A"/>
    <m/>
    <n v="-30"/>
    <m/>
    <m/>
    <s v="Met"/>
    <m/>
    <s v="NON"/>
  </r>
  <r>
    <x v="12"/>
    <n v="4"/>
    <n v="60"/>
    <m/>
    <n v="67"/>
    <m/>
    <n v="0.8"/>
    <s v="N/A"/>
    <m/>
    <n v="-7"/>
    <m/>
    <m/>
    <s v="Below"/>
    <m/>
    <s v="NON"/>
  </r>
  <r>
    <x v="13"/>
    <n v="4"/>
    <n v="30"/>
    <m/>
    <n v="78"/>
    <m/>
    <n v="0.8"/>
    <s v="N/A"/>
    <m/>
    <n v="-48"/>
    <m/>
    <m/>
    <s v="Below"/>
    <m/>
    <s v="NON"/>
  </r>
  <r>
    <x v="14"/>
    <n v="4"/>
    <n v="20"/>
    <m/>
    <n v="87"/>
    <m/>
    <n v="0.8"/>
    <s v="N/A"/>
    <m/>
    <n v="-67"/>
    <m/>
    <m/>
    <s v="Below"/>
    <m/>
    <s v="NON"/>
  </r>
  <r>
    <x v="15"/>
    <n v="4"/>
    <n v="100"/>
    <m/>
    <n v="97"/>
    <m/>
    <n v="0.8"/>
    <s v="N/A"/>
    <m/>
    <n v="3"/>
    <m/>
    <m/>
    <s v="Met"/>
    <m/>
    <s v="LOW"/>
  </r>
  <r>
    <x v="16"/>
    <n v="4"/>
    <n v="60"/>
    <m/>
    <n v="85"/>
    <m/>
    <n v="0.8"/>
    <s v="N/A"/>
    <m/>
    <n v="-25"/>
    <m/>
    <m/>
    <s v="Below"/>
    <m/>
    <s v="NON"/>
  </r>
  <r>
    <x v="17"/>
    <n v="4"/>
    <n v="45"/>
    <m/>
    <n v="66"/>
    <m/>
    <n v="0.8"/>
    <s v="N/A"/>
    <m/>
    <n v="-21"/>
    <m/>
    <m/>
    <s v="Below"/>
    <m/>
    <s v="NON"/>
  </r>
  <r>
    <x v="18"/>
    <n v="4"/>
    <n v="67"/>
    <m/>
    <n v="45"/>
    <m/>
    <n v="0.8"/>
    <s v="N/A"/>
    <m/>
    <n v="22"/>
    <m/>
    <m/>
    <s v="Below"/>
    <m/>
    <s v="HIGH GROWTH"/>
  </r>
  <r>
    <x v="19"/>
    <n v="4"/>
    <n v="80"/>
    <m/>
    <n v="54"/>
    <m/>
    <n v="0.8"/>
    <s v="N/A"/>
    <m/>
    <n v="26"/>
    <m/>
    <m/>
    <s v="Met"/>
    <m/>
    <s v="HIGH GROWTH"/>
  </r>
  <r>
    <x v="20"/>
    <n v="4"/>
    <n v="95"/>
    <m/>
    <n v="48"/>
    <m/>
    <n v="0.8"/>
    <s v="N/A"/>
    <m/>
    <n v="47"/>
    <m/>
    <m/>
    <s v="Met"/>
    <m/>
    <s v="HIGH GROWTH"/>
  </r>
  <r>
    <x v="21"/>
    <n v="4"/>
    <n v="45"/>
    <m/>
    <n v="95"/>
    <m/>
    <n v="0.8"/>
    <s v="N/A"/>
    <m/>
    <n v="-50"/>
    <m/>
    <m/>
    <s v="Below"/>
    <m/>
    <s v="NON"/>
  </r>
  <r>
    <x v="22"/>
    <n v="4"/>
    <n v="55"/>
    <m/>
    <n v="92"/>
    <m/>
    <n v="0.8"/>
    <s v="N/A"/>
    <m/>
    <n v="-37"/>
    <m/>
    <m/>
    <s v="Below"/>
    <m/>
    <s v="NON"/>
  </r>
  <r>
    <x v="23"/>
    <n v="4"/>
    <n v="67"/>
    <m/>
    <n v="82"/>
    <m/>
    <n v="0.8"/>
    <s v="N/A"/>
    <m/>
    <n v="-15"/>
    <m/>
    <m/>
    <s v="Below"/>
    <m/>
    <s v="NON"/>
  </r>
  <r>
    <x v="24"/>
    <n v="4"/>
    <n v="82"/>
    <m/>
    <n v="88"/>
    <m/>
    <n v="0.8"/>
    <s v="N/A"/>
    <m/>
    <n v="-6"/>
    <m/>
    <m/>
    <s v="Met"/>
    <m/>
    <s v="NON"/>
  </r>
  <r>
    <x v="25"/>
    <n v="4"/>
    <n v="30"/>
    <m/>
    <n v="90"/>
    <m/>
    <n v="0.8"/>
    <s v="N/A"/>
    <m/>
    <n v="-60"/>
    <m/>
    <m/>
    <s v="Below"/>
    <m/>
    <s v="NON"/>
  </r>
  <r>
    <x v="26"/>
    <n v="4"/>
    <n v="20"/>
    <m/>
    <n v="10"/>
    <m/>
    <n v="0.8"/>
    <s v="N/A"/>
    <m/>
    <n v="10"/>
    <m/>
    <m/>
    <s v="Below"/>
    <m/>
    <s v="HIGH GROWTH"/>
  </r>
  <r>
    <x v="27"/>
    <n v="4"/>
    <n v="0"/>
    <m/>
    <n v="55"/>
    <m/>
    <n v="0.8"/>
    <s v="IEP"/>
    <m/>
    <n v="-55"/>
    <m/>
    <m/>
    <s v="Below"/>
    <m/>
    <s v="NON"/>
  </r>
  <r>
    <x v="28"/>
    <n v="4"/>
    <n v="10"/>
    <m/>
    <n v="67"/>
    <m/>
    <n v="0.8"/>
    <s v="N/A"/>
    <m/>
    <n v="-57"/>
    <m/>
    <m/>
    <s v="Below"/>
    <m/>
    <s v="NON"/>
  </r>
  <r>
    <x v="29"/>
    <n v="4"/>
    <n v="20"/>
    <m/>
    <n v="78"/>
    <m/>
    <n v="0.8"/>
    <s v="IEP"/>
    <m/>
    <n v="-58"/>
    <m/>
    <m/>
    <s v="Below"/>
    <m/>
    <s v="NON"/>
  </r>
  <r>
    <x v="30"/>
    <n v="4"/>
    <n v="25"/>
    <m/>
    <n v="70"/>
    <m/>
    <n v="0.8"/>
    <s v="N/A"/>
    <m/>
    <n v="-45"/>
    <m/>
    <m/>
    <s v="Below"/>
    <m/>
    <s v="NON"/>
  </r>
  <r>
    <x v="31"/>
    <n v="4"/>
    <n v="25"/>
    <m/>
    <n v="60"/>
    <m/>
    <n v="0.8"/>
    <s v="N/A"/>
    <m/>
    <n v="-35"/>
    <m/>
    <m/>
    <s v="Below"/>
    <m/>
    <s v="NON"/>
  </r>
  <r>
    <x v="32"/>
    <n v="4"/>
    <n v="25"/>
    <m/>
    <n v="20"/>
    <m/>
    <n v="0.8"/>
    <s v="N/A"/>
    <m/>
    <n v="5"/>
    <m/>
    <m/>
    <s v="Below"/>
    <m/>
    <s v="MODERATE"/>
  </r>
  <r>
    <x v="33"/>
    <n v="4"/>
    <n v="25"/>
    <m/>
    <n v="10"/>
    <m/>
    <n v="0.8"/>
    <s v="N/A"/>
    <m/>
    <n v="15"/>
    <m/>
    <m/>
    <s v="Below"/>
    <m/>
    <s v="HIGH GROWTH"/>
  </r>
  <r>
    <x v="34"/>
    <n v="4"/>
    <n v="25"/>
    <m/>
    <n v="50"/>
    <m/>
    <n v="0.8"/>
    <s v="N/A"/>
    <m/>
    <n v="-25"/>
    <m/>
    <m/>
    <s v="Below"/>
    <m/>
    <s v="NON"/>
  </r>
  <r>
    <x v="35"/>
    <n v="4"/>
    <n v="66"/>
    <m/>
    <n v="45"/>
    <m/>
    <n v="0.8"/>
    <s v="IEP"/>
    <m/>
    <n v="21"/>
    <m/>
    <m/>
    <s v="Below"/>
    <m/>
    <s v="HIGH GROWTH"/>
  </r>
  <r>
    <x v="36"/>
    <n v="4"/>
    <n v="25"/>
    <m/>
    <n v="60"/>
    <m/>
    <n v="0.8"/>
    <s v="IEP"/>
    <m/>
    <n v="-35"/>
    <m/>
    <m/>
    <s v="Below"/>
    <m/>
    <s v="NON"/>
  </r>
  <r>
    <x v="37"/>
    <n v="4"/>
    <n v="66"/>
    <m/>
    <n v="68"/>
    <m/>
    <n v="0.8"/>
    <s v="N/A"/>
    <m/>
    <n v="-2"/>
    <m/>
    <m/>
    <s v="Below"/>
    <m/>
    <s v="NON"/>
  </r>
  <r>
    <x v="38"/>
    <n v="4"/>
    <n v="78"/>
    <m/>
    <n v="94"/>
    <m/>
    <n v="0.8"/>
    <s v="N/A"/>
    <m/>
    <n v="-16"/>
    <m/>
    <m/>
    <s v="Met"/>
    <m/>
    <s v="NON"/>
  </r>
  <r>
    <x v="39"/>
    <n v="4"/>
    <n v="95"/>
    <m/>
    <n v="92"/>
    <m/>
    <n v="0.8"/>
    <s v="N/A"/>
    <m/>
    <n v="3"/>
    <m/>
    <m/>
    <s v="Met"/>
    <m/>
    <s v="LOW"/>
  </r>
  <r>
    <x v="40"/>
    <n v="4"/>
    <n v="100"/>
    <m/>
    <n v="91"/>
    <m/>
    <n v="0.8"/>
    <s v="IEP"/>
    <m/>
    <n v="9"/>
    <m/>
    <m/>
    <s v="Met"/>
    <m/>
    <s v="MODERATE"/>
  </r>
  <r>
    <x v="41"/>
    <n v="4"/>
    <n v="80"/>
    <m/>
    <n v="51"/>
    <m/>
    <n v="0.8"/>
    <s v="IEP"/>
    <m/>
    <n v="29"/>
    <m/>
    <m/>
    <s v="Met"/>
    <m/>
    <s v="HIGH GROWTH"/>
  </r>
  <r>
    <x v="42"/>
    <n v="4"/>
    <n v="75"/>
    <m/>
    <n v="35"/>
    <m/>
    <n v="0.8"/>
    <s v="N/A"/>
    <m/>
    <n v="40"/>
    <m/>
    <m/>
    <s v="Met"/>
    <m/>
    <s v="HIGH GROWTH"/>
  </r>
  <r>
    <x v="43"/>
    <n v="4"/>
    <n v="75"/>
    <m/>
    <n v="25"/>
    <m/>
    <n v="0.8"/>
    <s v="N/A"/>
    <m/>
    <n v="50"/>
    <m/>
    <m/>
    <s v="Met"/>
    <m/>
    <s v="HIGH GROWTH"/>
  </r>
  <r>
    <x v="44"/>
    <n v="4"/>
    <n v="80"/>
    <m/>
    <n v="47"/>
    <m/>
    <n v="0.8"/>
    <s v="N/A"/>
    <m/>
    <n v="33"/>
    <m/>
    <m/>
    <s v="Met"/>
    <m/>
    <s v="HIGH GROWTH"/>
  </r>
  <r>
    <x v="45"/>
    <n v="4"/>
    <n v="90"/>
    <m/>
    <n v="48"/>
    <m/>
    <n v="0.8"/>
    <s v="N/A"/>
    <m/>
    <n v="42"/>
    <m/>
    <m/>
    <s v="Met"/>
    <m/>
    <s v="HIGH GROWTH"/>
  </r>
  <r>
    <x v="46"/>
    <n v="4"/>
    <n v="54"/>
    <m/>
    <n v="66"/>
    <m/>
    <n v="0.8"/>
    <s v="IEP"/>
    <m/>
    <n v="-12"/>
    <m/>
    <m/>
    <s v="Below"/>
    <m/>
    <s v="NON"/>
  </r>
  <r>
    <x v="47"/>
    <n v="4"/>
    <n v="45"/>
    <m/>
    <n v="78"/>
    <m/>
    <n v="0.8"/>
    <s v="IEP"/>
    <m/>
    <n v="-33"/>
    <m/>
    <m/>
    <s v="Below"/>
    <m/>
    <s v="NON"/>
  </r>
  <r>
    <x v="48"/>
    <n v="4"/>
    <n v="60"/>
    <m/>
    <n v="30"/>
    <m/>
    <n v="0.8"/>
    <s v="N/A"/>
    <m/>
    <n v="30"/>
    <m/>
    <m/>
    <s v="Below"/>
    <m/>
    <s v="HIGH GROWTH"/>
  </r>
  <r>
    <x v="49"/>
    <n v="4"/>
    <n v="100"/>
    <m/>
    <n v="56"/>
    <m/>
    <n v="0.8"/>
    <s v="N/A"/>
    <m/>
    <n v="44"/>
    <m/>
    <m/>
    <s v="Met"/>
    <m/>
    <s v="HIGH GROWTH"/>
  </r>
  <r>
    <x v="50"/>
    <n v="4"/>
    <n v="75"/>
    <m/>
    <n v="77"/>
    <m/>
    <n v="0.8"/>
    <s v="N/A"/>
    <m/>
    <n v="-2"/>
    <m/>
    <m/>
    <s v="Met"/>
    <m/>
    <s v="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D1E1D9-8153-554B-9A34-921F74E087E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N18"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1">
    <format dxfId="2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BA4086-3FAE-4942-B9C9-B56165006F4C}" name="Table1" displayName="Table1" ref="A1:J58" totalsRowShown="0" headerRowDxfId="21" dataDxfId="20">
  <autoFilter ref="A1:J58" xr:uid="{46BA4086-3FAE-4942-B9C9-B56165006F4C}"/>
  <tableColumns count="10">
    <tableColumn id="1" xr3:uid="{FF781C88-980A-6949-8A7D-0E37152E3ED0}" name="Column1" dataDxfId="19"/>
    <tableColumn id="2" xr3:uid="{E7BA83A7-7914-1447-B7CE-38E877A474C5}" name="Column2" dataDxfId="18"/>
    <tableColumn id="3" xr3:uid="{7C92C92C-3116-574A-AF47-64B9BDE0F30D}" name="Column3" dataDxfId="17"/>
    <tableColumn id="4" xr3:uid="{DF1BC849-E903-6C45-9DBC-ABD880964C00}" name="Column4" dataDxfId="16"/>
    <tableColumn id="6" xr3:uid="{1C12E8D9-D87A-A940-9AC3-9B09F1C7B71B}" name="Column6" dataDxfId="15"/>
    <tableColumn id="8" xr3:uid="{2F6E2671-FAC5-E849-9D36-422FD92F99BC}" name="Column8" dataDxfId="14"/>
    <tableColumn id="9" xr3:uid="{AF397377-59AE-014D-BA1C-989E647704A2}" name="Column9" dataDxfId="13"/>
    <tableColumn id="11" xr3:uid="{AB1FEC31-2DBD-2B42-8553-6F749735F8C6}" name="Column11" dataDxfId="12">
      <calculatedColumnFormula>D2-E2</calculatedColumnFormula>
    </tableColumn>
    <tableColumn id="12" xr3:uid="{5426B8CC-22B8-4746-82F4-FC2EDDABE5AA}" name="Column12" dataDxfId="11"/>
    <tableColumn id="13" xr3:uid="{B0EDBCFB-E6F7-3344-8CFC-F1C5D3CAE0AD}" name="Column13"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1BABE4-1414-3D49-BFF1-65AD4428CD4E}" name="Table2" displayName="Table2" ref="A1:D3" totalsRowShown="0" headerRowDxfId="9" dataDxfId="8">
  <autoFilter ref="A1:D3" xr:uid="{FF1BABE4-1414-3D49-BFF1-65AD4428CD4E}"/>
  <tableColumns count="4">
    <tableColumn id="1" xr3:uid="{EB8F8FEE-75C2-F14D-AEE4-FA1012300AD6}" name="School:" dataDxfId="7"/>
    <tableColumn id="2" xr3:uid="{6738E0E1-1FA2-9B45-BD49-FE30426066E9}" name="Avg. August" dataDxfId="3">
      <calculatedColumnFormula>AVERAGEIF('Score Sheet'!$B$3:$B$52,$A2,'Score Sheet'!$E$3:$E$52)</calculatedColumnFormula>
    </tableColumn>
    <tableColumn id="3" xr3:uid="{1C4310A4-457D-844A-8E49-9114B6EE754E}" name="Avg. September" dataDxfId="2">
      <calculatedColumnFormula>AVERAGEIF('Score Sheet'!$B$3:$B$52,$A2,'Score Sheet'!$D$3:$D$52)</calculatedColumnFormula>
    </tableColumn>
    <tableColumn id="4" xr3:uid="{8E1DB1CF-8D42-BB40-93D9-41E658380DC8}" name="Avg. Growth" dataDxfId="1">
      <calculatedColumnFormula>AVERAGEIF('Score Sheet'!$B$3:$B$52,$A2,'Score Sheet'!$H$3:$H$52)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96951E-5854-DF44-B937-FEF45D600CCD}" name="Table3" displayName="Table3" ref="G18:H21" totalsRowShown="0" headerRowDxfId="6">
  <autoFilter ref="G18:H21" xr:uid="{7F96951E-5854-DF44-B937-FEF45D600CCD}"/>
  <tableColumns count="2">
    <tableColumn id="1" xr3:uid="{D51CA73C-8D79-D046-9C8F-30F5B18C3166}" name="Benchmark Status"/>
    <tableColumn id="2" xr3:uid="{526DE825-1A40-9D43-B1B5-F12242CD8B23}" name="Stud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232B62-B287-0A4D-8CC4-AFDF348497E7}" name="Table4" displayName="Table4" ref="A18:B23" totalsRowShown="0">
  <autoFilter ref="A18:B23" xr:uid="{AF232B62-B287-0A4D-8CC4-AFDF348497E7}"/>
  <tableColumns count="2">
    <tableColumn id="1" xr3:uid="{BAFC7D0D-25B6-FD4A-A788-3CD2A6345A1D}" name="Growth Category"/>
    <tableColumn id="2" xr3:uid="{36DFC25A-9B0B-8845-8E9C-8C3184B807C6}" name="Students" dataDxfId="4">
      <calculatedColumnFormula>COUNTIF('Score Sheet'!$J$3:$J$52,A19)</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E25936-035A-B740-AB31-97A9809D2D12}" name="Table5" displayName="Table5" ref="G1:H3" totalsRowShown="0" headerRowDxfId="5">
  <autoFilter ref="G1:H3" xr:uid="{56E25936-035A-B740-AB31-97A9809D2D12}"/>
  <tableColumns count="2">
    <tableColumn id="1" xr3:uid="{6FC8660C-0AB5-7444-BC4B-ACF09B5814AD}" name="Student Attendance "/>
    <tableColumn id="2" xr3:uid="{DD75C836-A0D9-364B-9630-8F0FCA067B7A}" name="Student Attendance September" dataDxfId="0">
      <calculatedColumnFormula>AVERAGEIF('Score Sheet'!$B$3:$B$52,$G2,'Score Sheet'!$F$3:$F$52)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53396-D732-D749-9C92-444BFF45BEF8}">
  <dimension ref="A1:P62"/>
  <sheetViews>
    <sheetView tabSelected="1" zoomScale="75" workbookViewId="0">
      <selection activeCell="H26" sqref="H26"/>
    </sheetView>
  </sheetViews>
  <sheetFormatPr baseColWidth="10" defaultRowHeight="16" x14ac:dyDescent="0.2"/>
  <cols>
    <col min="1" max="9" width="13.5" style="4" customWidth="1"/>
    <col min="10" max="11" width="14.83203125" style="4" customWidth="1"/>
    <col min="12" max="12" width="11.6640625" style="4" customWidth="1"/>
    <col min="13" max="14" width="14.83203125" style="4" customWidth="1"/>
    <col min="15" max="15" width="11.6640625" style="4" customWidth="1"/>
    <col min="16" max="16" width="14.5" style="4" customWidth="1"/>
    <col min="17" max="16384" width="10.83203125" style="4"/>
  </cols>
  <sheetData>
    <row r="1" spans="1:14" ht="21" x14ac:dyDescent="0.25">
      <c r="A1" s="3" t="s">
        <v>58</v>
      </c>
      <c r="B1" s="3" t="s">
        <v>59</v>
      </c>
      <c r="C1" s="3" t="s">
        <v>60</v>
      </c>
      <c r="D1" s="3" t="s">
        <v>61</v>
      </c>
      <c r="E1" s="3" t="s">
        <v>62</v>
      </c>
      <c r="F1" s="3" t="s">
        <v>63</v>
      </c>
      <c r="G1" s="3" t="s">
        <v>64</v>
      </c>
      <c r="H1" s="3" t="s">
        <v>65</v>
      </c>
      <c r="I1" s="4" t="s">
        <v>66</v>
      </c>
      <c r="J1" s="3" t="s">
        <v>67</v>
      </c>
      <c r="L1" s="7"/>
      <c r="M1" s="8"/>
      <c r="N1" s="9"/>
    </row>
    <row r="2" spans="1:14" ht="21" x14ac:dyDescent="0.25">
      <c r="A2" s="3" t="s">
        <v>0</v>
      </c>
      <c r="B2" s="3" t="s">
        <v>17</v>
      </c>
      <c r="C2" s="3" t="s">
        <v>1</v>
      </c>
      <c r="D2" s="3" t="s">
        <v>93</v>
      </c>
      <c r="E2" s="3" t="s">
        <v>92</v>
      </c>
      <c r="F2" s="3" t="s">
        <v>94</v>
      </c>
      <c r="G2" s="3" t="s">
        <v>95</v>
      </c>
      <c r="H2" s="3" t="s">
        <v>84</v>
      </c>
      <c r="I2" s="5" t="s">
        <v>15</v>
      </c>
      <c r="J2" s="6" t="s">
        <v>16</v>
      </c>
      <c r="L2" s="10"/>
      <c r="M2" s="11"/>
      <c r="N2" s="12"/>
    </row>
    <row r="3" spans="1:14" x14ac:dyDescent="0.2">
      <c r="A3" s="4" t="s">
        <v>2</v>
      </c>
      <c r="B3" s="4" t="s">
        <v>74</v>
      </c>
      <c r="C3" s="4">
        <v>4</v>
      </c>
      <c r="D3" s="4">
        <v>90</v>
      </c>
      <c r="E3" s="4">
        <v>50</v>
      </c>
      <c r="F3" s="24">
        <v>1</v>
      </c>
      <c r="G3" s="4" t="s">
        <v>12</v>
      </c>
      <c r="H3" s="4">
        <f t="shared" ref="H3:H52" si="0">D3-E3</f>
        <v>40</v>
      </c>
      <c r="I3" s="4" t="str">
        <f>IF(D3&gt;=70,"Met","Below")</f>
        <v>Met</v>
      </c>
      <c r="J3" s="4" t="str">
        <f>IF(H3&gt;=10,"HIGH GROWTH",IF(H3&gt;=5,"MODERATE GROWTH",IF(H3&gt;=0,"LOW GROWTH","DECLINE")))</f>
        <v>HIGH GROWTH</v>
      </c>
      <c r="L3" s="10"/>
      <c r="M3" s="11"/>
      <c r="N3" s="12"/>
    </row>
    <row r="4" spans="1:14" x14ac:dyDescent="0.2">
      <c r="A4" s="4" t="s">
        <v>3</v>
      </c>
      <c r="B4" s="4" t="s">
        <v>73</v>
      </c>
      <c r="C4" s="4">
        <v>4</v>
      </c>
      <c r="D4" s="4">
        <v>70</v>
      </c>
      <c r="E4" s="4">
        <v>70</v>
      </c>
      <c r="F4" s="24">
        <v>1</v>
      </c>
      <c r="G4" s="4" t="s">
        <v>12</v>
      </c>
      <c r="H4" s="4">
        <f t="shared" si="0"/>
        <v>0</v>
      </c>
      <c r="I4" s="4" t="str">
        <f t="shared" ref="I4:I52" si="1">IF(D4&gt;=70,"Met","Below")</f>
        <v>Met</v>
      </c>
      <c r="J4" s="4" t="str">
        <f t="shared" ref="J4:J52" si="2">IF(H4&gt;=10,"HIGH GROWTH",IF(H4&gt;=5,"MODERATE GROWTH",IF(H4&gt;=0,"LOW GROWTH","DECLINE")))</f>
        <v>LOW GROWTH</v>
      </c>
      <c r="L4" s="10"/>
      <c r="M4" s="11"/>
      <c r="N4" s="12"/>
    </row>
    <row r="5" spans="1:14" x14ac:dyDescent="0.2">
      <c r="A5" s="4" t="s">
        <v>4</v>
      </c>
      <c r="B5" s="4" t="s">
        <v>74</v>
      </c>
      <c r="C5" s="4">
        <v>4</v>
      </c>
      <c r="D5" s="4">
        <v>60</v>
      </c>
      <c r="E5" s="4">
        <v>60</v>
      </c>
      <c r="F5" s="24">
        <v>1</v>
      </c>
      <c r="G5" s="4" t="s">
        <v>13</v>
      </c>
      <c r="H5" s="4">
        <f t="shared" si="0"/>
        <v>0</v>
      </c>
      <c r="I5" s="4" t="str">
        <f t="shared" si="1"/>
        <v>Below</v>
      </c>
      <c r="J5" s="4" t="str">
        <f t="shared" si="2"/>
        <v>LOW GROWTH</v>
      </c>
      <c r="L5" s="10"/>
      <c r="M5" s="11"/>
      <c r="N5" s="12"/>
    </row>
    <row r="6" spans="1:14" x14ac:dyDescent="0.2">
      <c r="A6" s="4" t="s">
        <v>5</v>
      </c>
      <c r="B6" s="4" t="s">
        <v>73</v>
      </c>
      <c r="C6" s="4">
        <v>4</v>
      </c>
      <c r="D6" s="4">
        <v>60</v>
      </c>
      <c r="E6" s="4">
        <v>90</v>
      </c>
      <c r="F6" s="24">
        <v>1</v>
      </c>
      <c r="G6" s="4" t="s">
        <v>14</v>
      </c>
      <c r="H6" s="4">
        <f t="shared" si="0"/>
        <v>-30</v>
      </c>
      <c r="I6" s="4" t="str">
        <f t="shared" si="1"/>
        <v>Below</v>
      </c>
      <c r="J6" s="4" t="str">
        <f t="shared" si="2"/>
        <v>DECLINE</v>
      </c>
      <c r="L6" s="10"/>
      <c r="M6" s="11"/>
      <c r="N6" s="12"/>
    </row>
    <row r="7" spans="1:14" x14ac:dyDescent="0.2">
      <c r="A7" s="4" t="s">
        <v>6</v>
      </c>
      <c r="B7" s="4" t="s">
        <v>74</v>
      </c>
      <c r="C7" s="4">
        <v>4</v>
      </c>
      <c r="D7" s="4">
        <v>80</v>
      </c>
      <c r="E7" s="4">
        <v>24</v>
      </c>
      <c r="F7" s="24">
        <v>1</v>
      </c>
      <c r="G7" s="4" t="s">
        <v>14</v>
      </c>
      <c r="H7" s="4">
        <f t="shared" si="0"/>
        <v>56</v>
      </c>
      <c r="I7" s="4" t="str">
        <f t="shared" si="1"/>
        <v>Met</v>
      </c>
      <c r="J7" s="4" t="str">
        <f t="shared" si="2"/>
        <v>HIGH GROWTH</v>
      </c>
      <c r="L7" s="10"/>
      <c r="M7" s="11"/>
      <c r="N7" s="12"/>
    </row>
    <row r="8" spans="1:14" x14ac:dyDescent="0.2">
      <c r="A8" s="4" t="s">
        <v>7</v>
      </c>
      <c r="B8" s="4" t="s">
        <v>73</v>
      </c>
      <c r="C8" s="4">
        <v>4</v>
      </c>
      <c r="D8" s="4">
        <v>50</v>
      </c>
      <c r="E8" s="4">
        <v>32</v>
      </c>
      <c r="F8" s="24">
        <v>0.5</v>
      </c>
      <c r="G8" s="4" t="s">
        <v>14</v>
      </c>
      <c r="H8" s="4">
        <f t="shared" si="0"/>
        <v>18</v>
      </c>
      <c r="I8" s="4" t="str">
        <f t="shared" si="1"/>
        <v>Below</v>
      </c>
      <c r="J8" s="4" t="str">
        <f t="shared" si="2"/>
        <v>HIGH GROWTH</v>
      </c>
      <c r="L8" s="10"/>
      <c r="M8" s="11"/>
      <c r="N8" s="12"/>
    </row>
    <row r="9" spans="1:14" x14ac:dyDescent="0.2">
      <c r="A9" s="4" t="s">
        <v>8</v>
      </c>
      <c r="B9" s="4" t="s">
        <v>74</v>
      </c>
      <c r="C9" s="4">
        <v>4</v>
      </c>
      <c r="D9" s="4">
        <v>70</v>
      </c>
      <c r="E9" s="4">
        <v>78</v>
      </c>
      <c r="F9" s="24">
        <v>0.6</v>
      </c>
      <c r="G9" s="4" t="s">
        <v>14</v>
      </c>
      <c r="H9" s="4">
        <f t="shared" si="0"/>
        <v>-8</v>
      </c>
      <c r="I9" s="4" t="str">
        <f t="shared" si="1"/>
        <v>Met</v>
      </c>
      <c r="J9" s="4" t="str">
        <f t="shared" si="2"/>
        <v>DECLINE</v>
      </c>
      <c r="L9" s="10"/>
      <c r="M9" s="11"/>
      <c r="N9" s="12"/>
    </row>
    <row r="10" spans="1:14" x14ac:dyDescent="0.2">
      <c r="A10" s="4" t="s">
        <v>9</v>
      </c>
      <c r="B10" s="4" t="s">
        <v>73</v>
      </c>
      <c r="C10" s="4">
        <v>4</v>
      </c>
      <c r="D10" s="4">
        <v>80</v>
      </c>
      <c r="E10" s="4">
        <v>95</v>
      </c>
      <c r="F10" s="24">
        <v>0.7</v>
      </c>
      <c r="G10" s="4" t="s">
        <v>14</v>
      </c>
      <c r="H10" s="4">
        <f t="shared" si="0"/>
        <v>-15</v>
      </c>
      <c r="I10" s="4" t="str">
        <f t="shared" si="1"/>
        <v>Met</v>
      </c>
      <c r="J10" s="4" t="str">
        <f t="shared" si="2"/>
        <v>DECLINE</v>
      </c>
      <c r="L10" s="10"/>
      <c r="M10" s="11"/>
      <c r="N10" s="12"/>
    </row>
    <row r="11" spans="1:14" x14ac:dyDescent="0.2">
      <c r="A11" s="4" t="s">
        <v>10</v>
      </c>
      <c r="B11" s="4" t="s">
        <v>74</v>
      </c>
      <c r="C11" s="4">
        <v>4</v>
      </c>
      <c r="D11" s="4">
        <v>90</v>
      </c>
      <c r="E11" s="4">
        <v>100</v>
      </c>
      <c r="F11" s="24">
        <v>0.56000000000000005</v>
      </c>
      <c r="G11" s="4" t="s">
        <v>12</v>
      </c>
      <c r="H11" s="4">
        <f t="shared" si="0"/>
        <v>-10</v>
      </c>
      <c r="I11" s="4" t="str">
        <f t="shared" si="1"/>
        <v>Met</v>
      </c>
      <c r="J11" s="4" t="str">
        <f t="shared" si="2"/>
        <v>DECLINE</v>
      </c>
      <c r="L11" s="10"/>
      <c r="M11" s="11"/>
      <c r="N11" s="12"/>
    </row>
    <row r="12" spans="1:14" x14ac:dyDescent="0.2">
      <c r="A12" s="4" t="s">
        <v>11</v>
      </c>
      <c r="B12" s="4" t="s">
        <v>73</v>
      </c>
      <c r="C12" s="4">
        <v>4</v>
      </c>
      <c r="D12" s="4">
        <v>100</v>
      </c>
      <c r="E12" s="4">
        <v>65</v>
      </c>
      <c r="F12" s="24">
        <v>0.8</v>
      </c>
      <c r="G12" s="4" t="s">
        <v>14</v>
      </c>
      <c r="H12" s="4">
        <f t="shared" si="0"/>
        <v>35</v>
      </c>
      <c r="I12" s="4" t="str">
        <f t="shared" si="1"/>
        <v>Met</v>
      </c>
      <c r="J12" s="4" t="str">
        <f t="shared" si="2"/>
        <v>HIGH GROWTH</v>
      </c>
      <c r="L12" s="10"/>
      <c r="M12" s="11"/>
      <c r="N12" s="12"/>
    </row>
    <row r="13" spans="1:14" x14ac:dyDescent="0.2">
      <c r="A13" s="4" t="s">
        <v>18</v>
      </c>
      <c r="B13" s="4" t="s">
        <v>74</v>
      </c>
      <c r="C13" s="4">
        <v>4</v>
      </c>
      <c r="D13" s="4">
        <v>70</v>
      </c>
      <c r="E13" s="4">
        <v>100</v>
      </c>
      <c r="F13" s="24">
        <v>0.8</v>
      </c>
      <c r="G13" s="4" t="s">
        <v>14</v>
      </c>
      <c r="H13" s="4">
        <f t="shared" si="0"/>
        <v>-30</v>
      </c>
      <c r="I13" s="4" t="str">
        <f t="shared" si="1"/>
        <v>Met</v>
      </c>
      <c r="J13" s="4" t="str">
        <f t="shared" si="2"/>
        <v>DECLINE</v>
      </c>
      <c r="L13" s="10"/>
      <c r="M13" s="11"/>
      <c r="N13" s="12"/>
    </row>
    <row r="14" spans="1:14" x14ac:dyDescent="0.2">
      <c r="A14" s="4" t="s">
        <v>19</v>
      </c>
      <c r="B14" s="4" t="s">
        <v>73</v>
      </c>
      <c r="C14" s="4">
        <v>4</v>
      </c>
      <c r="D14" s="4">
        <v>60</v>
      </c>
      <c r="E14" s="4">
        <v>67</v>
      </c>
      <c r="F14" s="24">
        <v>0.8</v>
      </c>
      <c r="G14" s="4" t="s">
        <v>14</v>
      </c>
      <c r="H14" s="4">
        <f t="shared" si="0"/>
        <v>-7</v>
      </c>
      <c r="I14" s="4" t="str">
        <f t="shared" si="1"/>
        <v>Below</v>
      </c>
      <c r="J14" s="4" t="str">
        <f t="shared" si="2"/>
        <v>DECLINE</v>
      </c>
      <c r="L14" s="10"/>
      <c r="M14" s="11"/>
      <c r="N14" s="12"/>
    </row>
    <row r="15" spans="1:14" x14ac:dyDescent="0.2">
      <c r="A15" s="4" t="s">
        <v>20</v>
      </c>
      <c r="B15" s="4" t="s">
        <v>74</v>
      </c>
      <c r="C15" s="4">
        <v>4</v>
      </c>
      <c r="D15" s="4">
        <v>30</v>
      </c>
      <c r="E15" s="4">
        <v>78</v>
      </c>
      <c r="F15" s="24">
        <v>0.8</v>
      </c>
      <c r="G15" s="4" t="s">
        <v>14</v>
      </c>
      <c r="H15" s="4">
        <f t="shared" si="0"/>
        <v>-48</v>
      </c>
      <c r="I15" s="4" t="str">
        <f t="shared" si="1"/>
        <v>Below</v>
      </c>
      <c r="J15" s="4" t="str">
        <f t="shared" si="2"/>
        <v>DECLINE</v>
      </c>
      <c r="L15" s="10"/>
      <c r="M15" s="11"/>
      <c r="N15" s="12"/>
    </row>
    <row r="16" spans="1:14" x14ac:dyDescent="0.2">
      <c r="A16" s="4" t="s">
        <v>21</v>
      </c>
      <c r="B16" s="4" t="s">
        <v>73</v>
      </c>
      <c r="C16" s="4">
        <v>4</v>
      </c>
      <c r="D16" s="4">
        <v>20</v>
      </c>
      <c r="E16" s="4">
        <v>87</v>
      </c>
      <c r="F16" s="24">
        <v>0.5</v>
      </c>
      <c r="G16" s="4" t="s">
        <v>14</v>
      </c>
      <c r="H16" s="4">
        <f t="shared" si="0"/>
        <v>-67</v>
      </c>
      <c r="I16" s="4" t="str">
        <f t="shared" si="1"/>
        <v>Below</v>
      </c>
      <c r="J16" s="4" t="str">
        <f t="shared" si="2"/>
        <v>DECLINE</v>
      </c>
      <c r="L16" s="10"/>
      <c r="M16" s="11"/>
      <c r="N16" s="12"/>
    </row>
    <row r="17" spans="1:14" x14ac:dyDescent="0.2">
      <c r="A17" s="4" t="s">
        <v>22</v>
      </c>
      <c r="B17" s="4" t="s">
        <v>74</v>
      </c>
      <c r="C17" s="4">
        <v>4</v>
      </c>
      <c r="D17" s="4">
        <v>100</v>
      </c>
      <c r="E17" s="4">
        <v>97</v>
      </c>
      <c r="F17" s="24">
        <v>0.5</v>
      </c>
      <c r="G17" s="4" t="s">
        <v>14</v>
      </c>
      <c r="H17" s="4">
        <f t="shared" si="0"/>
        <v>3</v>
      </c>
      <c r="I17" s="4" t="str">
        <f t="shared" si="1"/>
        <v>Met</v>
      </c>
      <c r="J17" s="4" t="str">
        <f t="shared" si="2"/>
        <v>LOW GROWTH</v>
      </c>
      <c r="L17" s="10"/>
      <c r="M17" s="11"/>
      <c r="N17" s="12"/>
    </row>
    <row r="18" spans="1:14" x14ac:dyDescent="0.2">
      <c r="A18" s="4" t="s">
        <v>23</v>
      </c>
      <c r="B18" s="4" t="s">
        <v>73</v>
      </c>
      <c r="C18" s="4">
        <v>4</v>
      </c>
      <c r="D18" s="4">
        <v>60</v>
      </c>
      <c r="E18" s="4">
        <v>85</v>
      </c>
      <c r="F18" s="24">
        <v>0.8</v>
      </c>
      <c r="G18" s="4" t="s">
        <v>14</v>
      </c>
      <c r="H18" s="4">
        <f t="shared" si="0"/>
        <v>-25</v>
      </c>
      <c r="I18" s="4" t="str">
        <f t="shared" si="1"/>
        <v>Below</v>
      </c>
      <c r="J18" s="4" t="str">
        <f t="shared" si="2"/>
        <v>DECLINE</v>
      </c>
      <c r="L18" s="14"/>
      <c r="M18" s="15"/>
      <c r="N18" s="16"/>
    </row>
    <row r="19" spans="1:14" x14ac:dyDescent="0.2">
      <c r="A19" s="4" t="s">
        <v>24</v>
      </c>
      <c r="B19" s="4" t="s">
        <v>74</v>
      </c>
      <c r="C19" s="4">
        <v>4</v>
      </c>
      <c r="D19" s="4">
        <v>45</v>
      </c>
      <c r="E19" s="4">
        <v>66</v>
      </c>
      <c r="F19" s="24">
        <v>0.8</v>
      </c>
      <c r="G19" s="4" t="s">
        <v>14</v>
      </c>
      <c r="H19" s="4">
        <f t="shared" si="0"/>
        <v>-21</v>
      </c>
      <c r="I19" s="4" t="str">
        <f t="shared" si="1"/>
        <v>Below</v>
      </c>
      <c r="J19" s="4" t="str">
        <f t="shared" si="2"/>
        <v>DECLINE</v>
      </c>
    </row>
    <row r="20" spans="1:14" x14ac:dyDescent="0.2">
      <c r="A20" s="4" t="s">
        <v>25</v>
      </c>
      <c r="B20" s="4" t="s">
        <v>73</v>
      </c>
      <c r="C20" s="4">
        <v>4</v>
      </c>
      <c r="D20" s="4">
        <v>67</v>
      </c>
      <c r="E20" s="4">
        <v>45</v>
      </c>
      <c r="F20" s="24">
        <v>0.8</v>
      </c>
      <c r="G20" s="4" t="s">
        <v>14</v>
      </c>
      <c r="H20" s="4">
        <f t="shared" si="0"/>
        <v>22</v>
      </c>
      <c r="I20" s="4" t="str">
        <f t="shared" si="1"/>
        <v>Below</v>
      </c>
      <c r="J20" s="4" t="str">
        <f t="shared" si="2"/>
        <v>HIGH GROWTH</v>
      </c>
    </row>
    <row r="21" spans="1:14" x14ac:dyDescent="0.2">
      <c r="A21" s="4" t="s">
        <v>26</v>
      </c>
      <c r="B21" s="4" t="s">
        <v>74</v>
      </c>
      <c r="C21" s="4">
        <v>4</v>
      </c>
      <c r="D21" s="4">
        <v>80</v>
      </c>
      <c r="E21" s="4">
        <v>54</v>
      </c>
      <c r="F21" s="24">
        <v>0.8</v>
      </c>
      <c r="G21" s="4" t="s">
        <v>14</v>
      </c>
      <c r="H21" s="4">
        <f t="shared" si="0"/>
        <v>26</v>
      </c>
      <c r="I21" s="4" t="str">
        <f t="shared" si="1"/>
        <v>Met</v>
      </c>
      <c r="J21" s="4" t="str">
        <f t="shared" si="2"/>
        <v>HIGH GROWTH</v>
      </c>
    </row>
    <row r="22" spans="1:14" x14ac:dyDescent="0.2">
      <c r="A22" s="4" t="s">
        <v>27</v>
      </c>
      <c r="B22" s="4" t="s">
        <v>73</v>
      </c>
      <c r="C22" s="4">
        <v>4</v>
      </c>
      <c r="D22" s="4">
        <v>95</v>
      </c>
      <c r="E22" s="4">
        <v>48</v>
      </c>
      <c r="F22" s="24">
        <v>0.6</v>
      </c>
      <c r="G22" s="4" t="s">
        <v>14</v>
      </c>
      <c r="H22" s="4">
        <f t="shared" si="0"/>
        <v>47</v>
      </c>
      <c r="I22" s="4" t="str">
        <f t="shared" si="1"/>
        <v>Met</v>
      </c>
      <c r="J22" s="4" t="str">
        <f t="shared" si="2"/>
        <v>HIGH GROWTH</v>
      </c>
    </row>
    <row r="23" spans="1:14" x14ac:dyDescent="0.2">
      <c r="A23" s="4" t="s">
        <v>28</v>
      </c>
      <c r="B23" s="4" t="s">
        <v>74</v>
      </c>
      <c r="C23" s="4">
        <v>4</v>
      </c>
      <c r="D23" s="4">
        <v>45</v>
      </c>
      <c r="E23" s="4">
        <v>95</v>
      </c>
      <c r="F23" s="24">
        <v>0.8</v>
      </c>
      <c r="G23" s="4" t="s">
        <v>14</v>
      </c>
      <c r="H23" s="4">
        <f t="shared" si="0"/>
        <v>-50</v>
      </c>
      <c r="I23" s="4" t="str">
        <f t="shared" si="1"/>
        <v>Below</v>
      </c>
      <c r="J23" s="4" t="str">
        <f t="shared" si="2"/>
        <v>DECLINE</v>
      </c>
    </row>
    <row r="24" spans="1:14" x14ac:dyDescent="0.2">
      <c r="A24" s="4" t="s">
        <v>29</v>
      </c>
      <c r="B24" s="4" t="s">
        <v>73</v>
      </c>
      <c r="C24" s="4">
        <v>4</v>
      </c>
      <c r="D24" s="4">
        <v>55</v>
      </c>
      <c r="E24" s="4">
        <v>92</v>
      </c>
      <c r="F24" s="24">
        <v>0.7</v>
      </c>
      <c r="G24" s="4" t="s">
        <v>14</v>
      </c>
      <c r="H24" s="4">
        <f t="shared" si="0"/>
        <v>-37</v>
      </c>
      <c r="I24" s="4" t="str">
        <f t="shared" si="1"/>
        <v>Below</v>
      </c>
      <c r="J24" s="4" t="str">
        <f t="shared" si="2"/>
        <v>DECLINE</v>
      </c>
    </row>
    <row r="25" spans="1:14" x14ac:dyDescent="0.2">
      <c r="A25" s="4" t="s">
        <v>30</v>
      </c>
      <c r="B25" s="4" t="s">
        <v>74</v>
      </c>
      <c r="C25" s="4">
        <v>4</v>
      </c>
      <c r="D25" s="4">
        <v>67</v>
      </c>
      <c r="E25" s="4">
        <v>82</v>
      </c>
      <c r="F25" s="24">
        <v>0.8</v>
      </c>
      <c r="G25" s="4" t="s">
        <v>14</v>
      </c>
      <c r="H25" s="4">
        <f t="shared" si="0"/>
        <v>-15</v>
      </c>
      <c r="I25" s="4" t="str">
        <f t="shared" si="1"/>
        <v>Below</v>
      </c>
      <c r="J25" s="4" t="str">
        <f t="shared" si="2"/>
        <v>DECLINE</v>
      </c>
    </row>
    <row r="26" spans="1:14" x14ac:dyDescent="0.2">
      <c r="A26" s="4" t="s">
        <v>31</v>
      </c>
      <c r="B26" s="4" t="s">
        <v>73</v>
      </c>
      <c r="C26" s="4">
        <v>4</v>
      </c>
      <c r="D26" s="4">
        <v>82</v>
      </c>
      <c r="E26" s="4">
        <v>88</v>
      </c>
      <c r="F26" s="24">
        <v>0.8</v>
      </c>
      <c r="G26" s="4" t="s">
        <v>14</v>
      </c>
      <c r="H26" s="4">
        <f t="shared" si="0"/>
        <v>-6</v>
      </c>
      <c r="I26" s="4" t="str">
        <f t="shared" si="1"/>
        <v>Met</v>
      </c>
      <c r="J26" s="4" t="str">
        <f t="shared" si="2"/>
        <v>DECLINE</v>
      </c>
    </row>
    <row r="27" spans="1:14" x14ac:dyDescent="0.2">
      <c r="A27" s="4" t="s">
        <v>32</v>
      </c>
      <c r="B27" s="4" t="s">
        <v>74</v>
      </c>
      <c r="C27" s="4">
        <v>4</v>
      </c>
      <c r="D27" s="4">
        <v>30</v>
      </c>
      <c r="E27" s="4">
        <v>90</v>
      </c>
      <c r="F27" s="24">
        <v>0.73</v>
      </c>
      <c r="G27" s="4" t="s">
        <v>14</v>
      </c>
      <c r="H27" s="4">
        <f t="shared" si="0"/>
        <v>-60</v>
      </c>
      <c r="I27" s="4" t="str">
        <f t="shared" si="1"/>
        <v>Below</v>
      </c>
      <c r="J27" s="4" t="str">
        <f t="shared" si="2"/>
        <v>DECLINE</v>
      </c>
    </row>
    <row r="28" spans="1:14" x14ac:dyDescent="0.2">
      <c r="A28" s="4" t="s">
        <v>33</v>
      </c>
      <c r="B28" s="4" t="s">
        <v>73</v>
      </c>
      <c r="C28" s="4">
        <v>4</v>
      </c>
      <c r="D28" s="4">
        <v>20</v>
      </c>
      <c r="E28" s="4">
        <v>10</v>
      </c>
      <c r="F28" s="24">
        <v>0.8</v>
      </c>
      <c r="G28" s="4" t="s">
        <v>14</v>
      </c>
      <c r="H28" s="4">
        <f t="shared" si="0"/>
        <v>10</v>
      </c>
      <c r="I28" s="4" t="str">
        <f t="shared" si="1"/>
        <v>Below</v>
      </c>
      <c r="J28" s="4" t="str">
        <f t="shared" si="2"/>
        <v>HIGH GROWTH</v>
      </c>
    </row>
    <row r="29" spans="1:14" x14ac:dyDescent="0.2">
      <c r="A29" s="4" t="s">
        <v>34</v>
      </c>
      <c r="B29" s="4" t="s">
        <v>74</v>
      </c>
      <c r="C29" s="4">
        <v>4</v>
      </c>
      <c r="D29" s="4">
        <v>0</v>
      </c>
      <c r="E29" s="4">
        <v>55</v>
      </c>
      <c r="F29" s="24">
        <v>0.8</v>
      </c>
      <c r="G29" s="4" t="s">
        <v>12</v>
      </c>
      <c r="H29" s="4">
        <f t="shared" si="0"/>
        <v>-55</v>
      </c>
      <c r="I29" s="4" t="str">
        <f t="shared" si="1"/>
        <v>Below</v>
      </c>
      <c r="J29" s="4" t="str">
        <f t="shared" si="2"/>
        <v>DECLINE</v>
      </c>
    </row>
    <row r="30" spans="1:14" x14ac:dyDescent="0.2">
      <c r="A30" s="4" t="s">
        <v>35</v>
      </c>
      <c r="B30" s="4" t="s">
        <v>73</v>
      </c>
      <c r="C30" s="4">
        <v>4</v>
      </c>
      <c r="D30" s="4">
        <v>10</v>
      </c>
      <c r="E30" s="4">
        <v>67</v>
      </c>
      <c r="F30" s="24">
        <v>0.8</v>
      </c>
      <c r="G30" s="4" t="s">
        <v>14</v>
      </c>
      <c r="H30" s="4">
        <f t="shared" si="0"/>
        <v>-57</v>
      </c>
      <c r="I30" s="4" t="str">
        <f t="shared" si="1"/>
        <v>Below</v>
      </c>
      <c r="J30" s="4" t="str">
        <f t="shared" si="2"/>
        <v>DECLINE</v>
      </c>
    </row>
    <row r="31" spans="1:14" x14ac:dyDescent="0.2">
      <c r="A31" s="4" t="s">
        <v>36</v>
      </c>
      <c r="B31" s="4" t="s">
        <v>74</v>
      </c>
      <c r="C31" s="4">
        <v>4</v>
      </c>
      <c r="D31" s="4">
        <v>20</v>
      </c>
      <c r="E31" s="4">
        <v>78</v>
      </c>
      <c r="F31" s="24">
        <v>0.72</v>
      </c>
      <c r="G31" s="4" t="s">
        <v>12</v>
      </c>
      <c r="H31" s="4">
        <f t="shared" si="0"/>
        <v>-58</v>
      </c>
      <c r="I31" s="4" t="str">
        <f t="shared" si="1"/>
        <v>Below</v>
      </c>
      <c r="J31" s="4" t="str">
        <f t="shared" si="2"/>
        <v>DECLINE</v>
      </c>
    </row>
    <row r="32" spans="1:14" x14ac:dyDescent="0.2">
      <c r="A32" s="4" t="s">
        <v>37</v>
      </c>
      <c r="B32" s="4" t="s">
        <v>73</v>
      </c>
      <c r="C32" s="4">
        <v>4</v>
      </c>
      <c r="D32" s="4">
        <v>25</v>
      </c>
      <c r="E32" s="4">
        <v>70</v>
      </c>
      <c r="F32" s="24">
        <v>0.8</v>
      </c>
      <c r="G32" s="4" t="s">
        <v>14</v>
      </c>
      <c r="H32" s="4">
        <f t="shared" si="0"/>
        <v>-45</v>
      </c>
      <c r="I32" s="4" t="str">
        <f t="shared" si="1"/>
        <v>Below</v>
      </c>
      <c r="J32" s="4" t="str">
        <f t="shared" si="2"/>
        <v>DECLINE</v>
      </c>
    </row>
    <row r="33" spans="1:10" x14ac:dyDescent="0.2">
      <c r="A33" s="4" t="s">
        <v>38</v>
      </c>
      <c r="B33" s="4" t="s">
        <v>74</v>
      </c>
      <c r="C33" s="4">
        <v>4</v>
      </c>
      <c r="D33" s="4">
        <v>25</v>
      </c>
      <c r="E33" s="4">
        <v>60</v>
      </c>
      <c r="F33" s="24">
        <v>0.34</v>
      </c>
      <c r="G33" s="4" t="s">
        <v>14</v>
      </c>
      <c r="H33" s="4">
        <f t="shared" si="0"/>
        <v>-35</v>
      </c>
      <c r="I33" s="4" t="str">
        <f t="shared" si="1"/>
        <v>Below</v>
      </c>
      <c r="J33" s="4" t="str">
        <f t="shared" si="2"/>
        <v>DECLINE</v>
      </c>
    </row>
    <row r="34" spans="1:10" x14ac:dyDescent="0.2">
      <c r="A34" s="4" t="s">
        <v>39</v>
      </c>
      <c r="B34" s="4" t="s">
        <v>73</v>
      </c>
      <c r="C34" s="4">
        <v>4</v>
      </c>
      <c r="D34" s="4">
        <v>25</v>
      </c>
      <c r="E34" s="4">
        <v>20</v>
      </c>
      <c r="F34" s="24">
        <v>0.8</v>
      </c>
      <c r="G34" s="4" t="s">
        <v>14</v>
      </c>
      <c r="H34" s="4">
        <f t="shared" si="0"/>
        <v>5</v>
      </c>
      <c r="I34" s="4" t="str">
        <f t="shared" si="1"/>
        <v>Below</v>
      </c>
      <c r="J34" s="4" t="str">
        <f t="shared" si="2"/>
        <v>MODERATE GROWTH</v>
      </c>
    </row>
    <row r="35" spans="1:10" x14ac:dyDescent="0.2">
      <c r="A35" s="4" t="s">
        <v>40</v>
      </c>
      <c r="B35" s="4" t="s">
        <v>74</v>
      </c>
      <c r="C35" s="4">
        <v>4</v>
      </c>
      <c r="D35" s="4">
        <v>25</v>
      </c>
      <c r="E35" s="4">
        <v>10</v>
      </c>
      <c r="F35" s="24">
        <v>0.5</v>
      </c>
      <c r="G35" s="4" t="s">
        <v>14</v>
      </c>
      <c r="H35" s="4">
        <f t="shared" si="0"/>
        <v>15</v>
      </c>
      <c r="I35" s="4" t="str">
        <f t="shared" si="1"/>
        <v>Below</v>
      </c>
      <c r="J35" s="4" t="str">
        <f t="shared" si="2"/>
        <v>HIGH GROWTH</v>
      </c>
    </row>
    <row r="36" spans="1:10" x14ac:dyDescent="0.2">
      <c r="A36" s="4" t="s">
        <v>41</v>
      </c>
      <c r="B36" s="4" t="s">
        <v>73</v>
      </c>
      <c r="C36" s="4">
        <v>4</v>
      </c>
      <c r="D36" s="4">
        <v>25</v>
      </c>
      <c r="E36" s="4">
        <v>50</v>
      </c>
      <c r="F36" s="24">
        <v>0.8</v>
      </c>
      <c r="G36" s="4" t="s">
        <v>14</v>
      </c>
      <c r="H36" s="4">
        <f t="shared" si="0"/>
        <v>-25</v>
      </c>
      <c r="I36" s="4" t="str">
        <f t="shared" si="1"/>
        <v>Below</v>
      </c>
      <c r="J36" s="4" t="str">
        <f t="shared" si="2"/>
        <v>DECLINE</v>
      </c>
    </row>
    <row r="37" spans="1:10" x14ac:dyDescent="0.2">
      <c r="A37" s="4" t="s">
        <v>42</v>
      </c>
      <c r="B37" s="4" t="s">
        <v>74</v>
      </c>
      <c r="C37" s="4">
        <v>4</v>
      </c>
      <c r="D37" s="4">
        <v>66</v>
      </c>
      <c r="E37" s="4">
        <v>45</v>
      </c>
      <c r="F37" s="24">
        <v>0.3</v>
      </c>
      <c r="G37" s="4" t="s">
        <v>12</v>
      </c>
      <c r="H37" s="4">
        <f t="shared" si="0"/>
        <v>21</v>
      </c>
      <c r="I37" s="4" t="str">
        <f t="shared" si="1"/>
        <v>Below</v>
      </c>
      <c r="J37" s="4" t="str">
        <f t="shared" si="2"/>
        <v>HIGH GROWTH</v>
      </c>
    </row>
    <row r="38" spans="1:10" x14ac:dyDescent="0.2">
      <c r="A38" s="4" t="s">
        <v>43</v>
      </c>
      <c r="B38" s="4" t="s">
        <v>73</v>
      </c>
      <c r="C38" s="4">
        <v>4</v>
      </c>
      <c r="D38" s="4">
        <v>25</v>
      </c>
      <c r="E38" s="4">
        <v>60</v>
      </c>
      <c r="F38" s="24">
        <v>0.8</v>
      </c>
      <c r="G38" s="4" t="s">
        <v>12</v>
      </c>
      <c r="H38" s="4">
        <f t="shared" si="0"/>
        <v>-35</v>
      </c>
      <c r="I38" s="4" t="str">
        <f t="shared" si="1"/>
        <v>Below</v>
      </c>
      <c r="J38" s="4" t="str">
        <f t="shared" si="2"/>
        <v>DECLINE</v>
      </c>
    </row>
    <row r="39" spans="1:10" x14ac:dyDescent="0.2">
      <c r="A39" s="4" t="s">
        <v>44</v>
      </c>
      <c r="B39" s="4" t="s">
        <v>74</v>
      </c>
      <c r="C39" s="4">
        <v>4</v>
      </c>
      <c r="D39" s="4">
        <v>66</v>
      </c>
      <c r="E39" s="4">
        <v>68</v>
      </c>
      <c r="F39" s="24">
        <v>0.8</v>
      </c>
      <c r="G39" s="4" t="s">
        <v>14</v>
      </c>
      <c r="H39" s="4">
        <f t="shared" si="0"/>
        <v>-2</v>
      </c>
      <c r="I39" s="4" t="str">
        <f t="shared" si="1"/>
        <v>Below</v>
      </c>
      <c r="J39" s="4" t="str">
        <f t="shared" si="2"/>
        <v>DECLINE</v>
      </c>
    </row>
    <row r="40" spans="1:10" x14ac:dyDescent="0.2">
      <c r="A40" s="4" t="s">
        <v>45</v>
      </c>
      <c r="B40" s="4" t="s">
        <v>73</v>
      </c>
      <c r="C40" s="4">
        <v>4</v>
      </c>
      <c r="D40" s="4">
        <v>78</v>
      </c>
      <c r="E40" s="4">
        <v>94</v>
      </c>
      <c r="F40" s="24">
        <v>0.4</v>
      </c>
      <c r="G40" s="4" t="s">
        <v>14</v>
      </c>
      <c r="H40" s="4">
        <f t="shared" si="0"/>
        <v>-16</v>
      </c>
      <c r="I40" s="4" t="str">
        <f t="shared" si="1"/>
        <v>Met</v>
      </c>
      <c r="J40" s="4" t="str">
        <f t="shared" si="2"/>
        <v>DECLINE</v>
      </c>
    </row>
    <row r="41" spans="1:10" x14ac:dyDescent="0.2">
      <c r="A41" s="4" t="s">
        <v>46</v>
      </c>
      <c r="B41" s="4" t="s">
        <v>74</v>
      </c>
      <c r="C41" s="4">
        <v>4</v>
      </c>
      <c r="D41" s="4">
        <v>95</v>
      </c>
      <c r="E41" s="4">
        <v>92</v>
      </c>
      <c r="F41" s="24">
        <v>0.45</v>
      </c>
      <c r="G41" s="4" t="s">
        <v>14</v>
      </c>
      <c r="H41" s="4">
        <f t="shared" si="0"/>
        <v>3</v>
      </c>
      <c r="I41" s="4" t="str">
        <f t="shared" si="1"/>
        <v>Met</v>
      </c>
      <c r="J41" s="4" t="str">
        <f t="shared" si="2"/>
        <v>LOW GROWTH</v>
      </c>
    </row>
    <row r="42" spans="1:10" x14ac:dyDescent="0.2">
      <c r="A42" s="4" t="s">
        <v>47</v>
      </c>
      <c r="B42" s="4" t="s">
        <v>73</v>
      </c>
      <c r="C42" s="4">
        <v>4</v>
      </c>
      <c r="D42" s="4">
        <v>100</v>
      </c>
      <c r="E42" s="4">
        <v>91</v>
      </c>
      <c r="F42" s="24">
        <v>0.8</v>
      </c>
      <c r="G42" s="4" t="s">
        <v>12</v>
      </c>
      <c r="H42" s="4">
        <f t="shared" si="0"/>
        <v>9</v>
      </c>
      <c r="I42" s="4" t="str">
        <f t="shared" si="1"/>
        <v>Met</v>
      </c>
      <c r="J42" s="4" t="str">
        <f t="shared" si="2"/>
        <v>MODERATE GROWTH</v>
      </c>
    </row>
    <row r="43" spans="1:10" x14ac:dyDescent="0.2">
      <c r="A43" s="4" t="s">
        <v>48</v>
      </c>
      <c r="B43" s="4" t="s">
        <v>74</v>
      </c>
      <c r="C43" s="4">
        <v>4</v>
      </c>
      <c r="D43" s="4">
        <v>80</v>
      </c>
      <c r="E43" s="4">
        <v>51</v>
      </c>
      <c r="F43" s="24">
        <v>0.8</v>
      </c>
      <c r="G43" s="4" t="s">
        <v>12</v>
      </c>
      <c r="H43" s="4">
        <f t="shared" si="0"/>
        <v>29</v>
      </c>
      <c r="I43" s="4" t="str">
        <f t="shared" si="1"/>
        <v>Met</v>
      </c>
      <c r="J43" s="4" t="str">
        <f t="shared" si="2"/>
        <v>HIGH GROWTH</v>
      </c>
    </row>
    <row r="44" spans="1:10" x14ac:dyDescent="0.2">
      <c r="A44" s="4" t="s">
        <v>49</v>
      </c>
      <c r="B44" s="4" t="s">
        <v>73</v>
      </c>
      <c r="C44" s="4">
        <v>4</v>
      </c>
      <c r="D44" s="4">
        <v>75</v>
      </c>
      <c r="E44" s="4">
        <v>35</v>
      </c>
      <c r="F44" s="24">
        <v>0.65</v>
      </c>
      <c r="G44" s="4" t="s">
        <v>14</v>
      </c>
      <c r="H44" s="4">
        <f t="shared" si="0"/>
        <v>40</v>
      </c>
      <c r="I44" s="4" t="str">
        <f t="shared" si="1"/>
        <v>Met</v>
      </c>
      <c r="J44" s="4" t="str">
        <f t="shared" si="2"/>
        <v>HIGH GROWTH</v>
      </c>
    </row>
    <row r="45" spans="1:10" x14ac:dyDescent="0.2">
      <c r="A45" s="4" t="s">
        <v>50</v>
      </c>
      <c r="B45" s="4" t="s">
        <v>74</v>
      </c>
      <c r="C45" s="4">
        <v>4</v>
      </c>
      <c r="D45" s="4">
        <v>75</v>
      </c>
      <c r="E45" s="4">
        <v>25</v>
      </c>
      <c r="F45" s="24">
        <v>0.8</v>
      </c>
      <c r="G45" s="4" t="s">
        <v>14</v>
      </c>
      <c r="H45" s="4">
        <f t="shared" si="0"/>
        <v>50</v>
      </c>
      <c r="I45" s="4" t="str">
        <f t="shared" si="1"/>
        <v>Met</v>
      </c>
      <c r="J45" s="4" t="str">
        <f t="shared" si="2"/>
        <v>HIGH GROWTH</v>
      </c>
    </row>
    <row r="46" spans="1:10" x14ac:dyDescent="0.2">
      <c r="A46" s="4" t="s">
        <v>51</v>
      </c>
      <c r="B46" s="4" t="s">
        <v>73</v>
      </c>
      <c r="C46" s="4">
        <v>4</v>
      </c>
      <c r="D46" s="4">
        <v>80</v>
      </c>
      <c r="E46" s="4">
        <v>47</v>
      </c>
      <c r="F46" s="24">
        <v>0.75</v>
      </c>
      <c r="G46" s="4" t="s">
        <v>14</v>
      </c>
      <c r="H46" s="4">
        <f t="shared" si="0"/>
        <v>33</v>
      </c>
      <c r="I46" s="4" t="str">
        <f t="shared" si="1"/>
        <v>Met</v>
      </c>
      <c r="J46" s="4" t="str">
        <f t="shared" si="2"/>
        <v>HIGH GROWTH</v>
      </c>
    </row>
    <row r="47" spans="1:10" x14ac:dyDescent="0.2">
      <c r="A47" s="4" t="s">
        <v>52</v>
      </c>
      <c r="B47" s="4" t="s">
        <v>74</v>
      </c>
      <c r="C47" s="4">
        <v>4</v>
      </c>
      <c r="D47" s="4">
        <v>90</v>
      </c>
      <c r="E47" s="4">
        <v>48</v>
      </c>
      <c r="F47" s="24">
        <v>0.8</v>
      </c>
      <c r="G47" s="4" t="s">
        <v>14</v>
      </c>
      <c r="H47" s="4">
        <f t="shared" si="0"/>
        <v>42</v>
      </c>
      <c r="I47" s="4" t="str">
        <f t="shared" si="1"/>
        <v>Met</v>
      </c>
      <c r="J47" s="4" t="str">
        <f t="shared" si="2"/>
        <v>HIGH GROWTH</v>
      </c>
    </row>
    <row r="48" spans="1:10" x14ac:dyDescent="0.2">
      <c r="A48" s="4" t="s">
        <v>53</v>
      </c>
      <c r="B48" s="4" t="s">
        <v>73</v>
      </c>
      <c r="C48" s="4">
        <v>4</v>
      </c>
      <c r="D48" s="4">
        <v>54</v>
      </c>
      <c r="E48" s="4">
        <v>66</v>
      </c>
      <c r="F48" s="24">
        <v>0.85</v>
      </c>
      <c r="G48" s="4" t="s">
        <v>12</v>
      </c>
      <c r="H48" s="4">
        <f t="shared" si="0"/>
        <v>-12</v>
      </c>
      <c r="I48" s="4" t="str">
        <f t="shared" si="1"/>
        <v>Below</v>
      </c>
      <c r="J48" s="4" t="str">
        <f t="shared" si="2"/>
        <v>DECLINE</v>
      </c>
    </row>
    <row r="49" spans="1:16" x14ac:dyDescent="0.2">
      <c r="A49" s="4" t="s">
        <v>54</v>
      </c>
      <c r="B49" s="4" t="s">
        <v>74</v>
      </c>
      <c r="C49" s="4">
        <v>4</v>
      </c>
      <c r="D49" s="4">
        <v>45</v>
      </c>
      <c r="E49" s="4">
        <v>78</v>
      </c>
      <c r="F49" s="24">
        <v>0.8</v>
      </c>
      <c r="G49" s="4" t="s">
        <v>12</v>
      </c>
      <c r="H49" s="4">
        <f t="shared" si="0"/>
        <v>-33</v>
      </c>
      <c r="I49" s="4" t="str">
        <f t="shared" si="1"/>
        <v>Below</v>
      </c>
      <c r="J49" s="4" t="str">
        <f t="shared" si="2"/>
        <v>DECLINE</v>
      </c>
    </row>
    <row r="50" spans="1:16" x14ac:dyDescent="0.2">
      <c r="A50" s="4" t="s">
        <v>55</v>
      </c>
      <c r="B50" s="4" t="s">
        <v>73</v>
      </c>
      <c r="C50" s="4">
        <v>4</v>
      </c>
      <c r="D50" s="4">
        <v>60</v>
      </c>
      <c r="E50" s="4">
        <v>30</v>
      </c>
      <c r="F50" s="24">
        <v>0.95</v>
      </c>
      <c r="G50" s="4" t="s">
        <v>14</v>
      </c>
      <c r="H50" s="4">
        <f t="shared" si="0"/>
        <v>30</v>
      </c>
      <c r="I50" s="4" t="str">
        <f t="shared" si="1"/>
        <v>Below</v>
      </c>
      <c r="J50" s="4" t="str">
        <f t="shared" si="2"/>
        <v>HIGH GROWTH</v>
      </c>
    </row>
    <row r="51" spans="1:16" x14ac:dyDescent="0.2">
      <c r="A51" s="4" t="s">
        <v>56</v>
      </c>
      <c r="B51" s="4" t="s">
        <v>74</v>
      </c>
      <c r="C51" s="4">
        <v>4</v>
      </c>
      <c r="D51" s="4">
        <v>100</v>
      </c>
      <c r="E51" s="4">
        <v>56</v>
      </c>
      <c r="F51" s="24">
        <v>0.8</v>
      </c>
      <c r="G51" s="4" t="s">
        <v>14</v>
      </c>
      <c r="H51" s="4">
        <f t="shared" si="0"/>
        <v>44</v>
      </c>
      <c r="I51" s="4" t="str">
        <f t="shared" si="1"/>
        <v>Met</v>
      </c>
      <c r="J51" s="4" t="str">
        <f t="shared" si="2"/>
        <v>HIGH GROWTH</v>
      </c>
    </row>
    <row r="52" spans="1:16" x14ac:dyDescent="0.2">
      <c r="A52" s="4" t="s">
        <v>57</v>
      </c>
      <c r="B52" s="4" t="s">
        <v>73</v>
      </c>
      <c r="C52" s="4">
        <v>4</v>
      </c>
      <c r="D52" s="4">
        <v>75</v>
      </c>
      <c r="E52" s="4">
        <v>77</v>
      </c>
      <c r="F52" s="24">
        <v>0.2</v>
      </c>
      <c r="G52" s="4" t="s">
        <v>14</v>
      </c>
      <c r="H52" s="4">
        <f t="shared" si="0"/>
        <v>-2</v>
      </c>
      <c r="I52" s="4" t="str">
        <f t="shared" si="1"/>
        <v>Met</v>
      </c>
      <c r="J52" s="4" t="str">
        <f t="shared" si="2"/>
        <v>DECLINE</v>
      </c>
    </row>
    <row r="53" spans="1:16" ht="21" x14ac:dyDescent="0.25">
      <c r="A53" s="19" t="s">
        <v>69</v>
      </c>
      <c r="F53" s="13"/>
    </row>
    <row r="54" spans="1:16" ht="21" x14ac:dyDescent="0.25">
      <c r="A54" s="19">
        <f>COUNTA(A3:A52)</f>
        <v>50</v>
      </c>
      <c r="F54" s="13"/>
    </row>
    <row r="55" spans="1:16" ht="21" x14ac:dyDescent="0.25">
      <c r="A55" s="19" t="s">
        <v>70</v>
      </c>
      <c r="F55" s="13"/>
    </row>
    <row r="56" spans="1:16" ht="29" x14ac:dyDescent="0.35">
      <c r="A56" s="19">
        <f>AVERAGE(D3:D52)</f>
        <v>59.9</v>
      </c>
      <c r="F56" s="13"/>
      <c r="K56" s="17"/>
      <c r="L56" s="17"/>
      <c r="M56" s="17"/>
      <c r="N56" s="17"/>
      <c r="O56" s="17"/>
      <c r="P56" s="17"/>
    </row>
    <row r="57" spans="1:16" ht="29" x14ac:dyDescent="0.35">
      <c r="A57" s="19" t="s">
        <v>71</v>
      </c>
      <c r="F57" s="13"/>
      <c r="K57" s="17"/>
      <c r="L57" s="17"/>
      <c r="M57" s="17"/>
      <c r="N57" s="17"/>
      <c r="O57" s="17"/>
      <c r="P57" s="17"/>
    </row>
    <row r="58" spans="1:16" ht="21" x14ac:dyDescent="0.25">
      <c r="A58" s="19">
        <f>AVERAGE(E3:E52)</f>
        <v>64.42</v>
      </c>
      <c r="F58" s="13"/>
    </row>
    <row r="59" spans="1:16" ht="34" x14ac:dyDescent="0.4">
      <c r="A59" s="18" t="s">
        <v>68</v>
      </c>
    </row>
    <row r="60" spans="1:16" ht="29" x14ac:dyDescent="0.35">
      <c r="A60" s="23" t="s">
        <v>96</v>
      </c>
      <c r="B60" s="17"/>
      <c r="C60" s="17"/>
      <c r="D60" s="17"/>
      <c r="E60" s="17"/>
      <c r="F60" s="17"/>
      <c r="G60" s="17"/>
      <c r="H60" s="17"/>
      <c r="I60" s="17"/>
      <c r="J60" s="17"/>
    </row>
    <row r="61" spans="1:16" ht="29" x14ac:dyDescent="0.35">
      <c r="A61" s="17" t="s">
        <v>97</v>
      </c>
      <c r="B61" s="17"/>
      <c r="C61" s="17"/>
      <c r="D61" s="17"/>
      <c r="E61" s="17"/>
      <c r="F61" s="17"/>
      <c r="G61" s="17"/>
      <c r="H61" s="17"/>
      <c r="I61" s="17"/>
      <c r="J61" s="17"/>
    </row>
    <row r="62" spans="1:16" x14ac:dyDescent="0.2">
      <c r="A62" s="4" t="s">
        <v>98</v>
      </c>
    </row>
  </sheetData>
  <phoneticPr fontId="6" type="noConversion"/>
  <pageMargins left="0.7" right="0.7" top="0.75" bottom="0.75" header="0.3" footer="0.3"/>
  <ignoredErrors>
    <ignoredError sqref="H2"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5D62-3AA1-1E44-BEF6-2AD76138256D}">
  <dimension ref="A1:H23"/>
  <sheetViews>
    <sheetView workbookViewId="0">
      <selection activeCell="F2" sqref="F2"/>
    </sheetView>
  </sheetViews>
  <sheetFormatPr baseColWidth="10" defaultRowHeight="16" x14ac:dyDescent="0.2"/>
  <cols>
    <col min="1" max="1" width="13.5" customWidth="1"/>
  </cols>
  <sheetData>
    <row r="1" spans="1:8" ht="24" x14ac:dyDescent="0.3">
      <c r="A1" s="20" t="s">
        <v>75</v>
      </c>
      <c r="B1" s="20" t="s">
        <v>77</v>
      </c>
      <c r="C1" s="20" t="s">
        <v>76</v>
      </c>
      <c r="D1" s="20" t="s">
        <v>78</v>
      </c>
      <c r="G1" s="21" t="s">
        <v>82</v>
      </c>
      <c r="H1" s="21" t="s">
        <v>83</v>
      </c>
    </row>
    <row r="2" spans="1:8" x14ac:dyDescent="0.2">
      <c r="A2" s="2" t="s">
        <v>72</v>
      </c>
      <c r="B2" s="2">
        <f>AVERAGEIF('Score Sheet'!$B$3:$B$52,$A2,'Score Sheet'!$E$3:$E$52)</f>
        <v>65.599999999999994</v>
      </c>
      <c r="C2" s="2">
        <f>AVERAGEIF('Score Sheet'!$B$3:$B$52,$A2,'Score Sheet'!$D$3:$D$52)</f>
        <v>61.76</v>
      </c>
      <c r="D2" s="2">
        <f>AVERAGEIF('Score Sheet'!$B$3:$B$52,$A2,'Score Sheet'!$H$3:$H$52)</f>
        <v>-3.84</v>
      </c>
      <c r="G2" t="s">
        <v>72</v>
      </c>
      <c r="H2" s="1">
        <f>AVERAGEIF('Score Sheet'!$B$3:$B$52,$G2,'Score Sheet'!$F$3:$F$52)</f>
        <v>0.7240000000000002</v>
      </c>
    </row>
    <row r="3" spans="1:8" x14ac:dyDescent="0.2">
      <c r="A3" s="2" t="s">
        <v>79</v>
      </c>
      <c r="B3" s="2">
        <f>AVERAGEIF('Score Sheet'!$B$3:$B$52,$A3,'Score Sheet'!$E$3:$E$52)</f>
        <v>63.24</v>
      </c>
      <c r="C3" s="2">
        <f>AVERAGEIF('Score Sheet'!$B$3:$B$52,$A3,'Score Sheet'!$D$3:$D$52)</f>
        <v>58.04</v>
      </c>
      <c r="D3" s="2">
        <f>AVERAGEIF('Score Sheet'!$B$3:$B$52,$A3,'Score Sheet'!$H$3:$H$52)</f>
        <v>-5.2</v>
      </c>
      <c r="G3" t="s">
        <v>79</v>
      </c>
      <c r="H3" s="1">
        <f>AVERAGEIF('Score Sheet'!$B$3:$B$52,$G3,'Score Sheet'!$F$3:$F$52)</f>
        <v>0.73600000000000021</v>
      </c>
    </row>
    <row r="18" spans="1:8" ht="24" x14ac:dyDescent="0.3">
      <c r="A18" s="21" t="s">
        <v>16</v>
      </c>
      <c r="B18" s="21" t="s">
        <v>80</v>
      </c>
      <c r="G18" s="20" t="s">
        <v>15</v>
      </c>
      <c r="H18" s="20" t="s">
        <v>81</v>
      </c>
    </row>
    <row r="19" spans="1:8" x14ac:dyDescent="0.2">
      <c r="A19" t="s">
        <v>85</v>
      </c>
      <c r="B19">
        <f>COUNTIF('Score Sheet'!$J$3:$J$52,A19)</f>
        <v>17</v>
      </c>
      <c r="G19" t="s">
        <v>90</v>
      </c>
      <c r="H19">
        <f>COUNTIF('Score Sheet'!$I$3:$I$52,G19)</f>
        <v>22</v>
      </c>
    </row>
    <row r="20" spans="1:8" x14ac:dyDescent="0.2">
      <c r="A20" t="s">
        <v>86</v>
      </c>
      <c r="B20">
        <f>COUNTIF('Score Sheet'!$J$3:$J$52,A20)</f>
        <v>2</v>
      </c>
      <c r="G20" t="s">
        <v>91</v>
      </c>
      <c r="H20">
        <f>COUNTIF('Score Sheet'!$I$3:$I$52,G20)</f>
        <v>28</v>
      </c>
    </row>
    <row r="21" spans="1:8" x14ac:dyDescent="0.2">
      <c r="A21" t="s">
        <v>87</v>
      </c>
      <c r="B21">
        <f>COUNTIF('Score Sheet'!$J$3:$J$52,A21)</f>
        <v>4</v>
      </c>
      <c r="G21" t="s">
        <v>89</v>
      </c>
      <c r="H21">
        <f>SUM(H19:H20)</f>
        <v>50</v>
      </c>
    </row>
    <row r="22" spans="1:8" x14ac:dyDescent="0.2">
      <c r="A22" t="s">
        <v>88</v>
      </c>
      <c r="B22">
        <f>COUNTIF('Score Sheet'!$J$3:$J$52,A22)</f>
        <v>27</v>
      </c>
    </row>
    <row r="23" spans="1:8" x14ac:dyDescent="0.2">
      <c r="A23" t="s">
        <v>89</v>
      </c>
      <c r="B23" s="22">
        <f>SUM(B19:B22)</f>
        <v>50</v>
      </c>
    </row>
  </sheetData>
  <phoneticPr fontId="6" type="noConversion"/>
  <pageMargins left="0.7" right="0.7" top="0.75" bottom="0.75" header="0.3" footer="0.3"/>
  <ignoredErrors>
    <ignoredError sqref="B23" calculatedColumn="1"/>
  </ignoredErrors>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Score Sheet</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Carter, Nasir K</dc:creator>
  <cp:lastModifiedBy>Carter, Nasir K</cp:lastModifiedBy>
  <dcterms:created xsi:type="dcterms:W3CDTF">2026-09-03T16:48:08Z</dcterms:created>
  <dcterms:modified xsi:type="dcterms:W3CDTF">2026-10-11T17:07:28Z</dcterms:modified>
</cp:coreProperties>
</file>